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icio" sheetId="1" r:id="rId5"/>
    <sheet state="visible" name="Plano de Contas" sheetId="2" r:id="rId6"/>
    <sheet state="visible" name="Cadastros" sheetId="3" r:id="rId7"/>
    <sheet state="visible" name="Entradas" sheetId="4" r:id="rId8"/>
    <sheet state="visible" name="Saídas" sheetId="5" r:id="rId9"/>
    <sheet state="visible" name="Transf Interna" sheetId="6" r:id="rId10"/>
    <sheet state="visible" name="Contas a Receber" sheetId="7" r:id="rId11"/>
    <sheet state="visible" name="Contas a Pagar" sheetId="8" r:id="rId12"/>
    <sheet state="visible" name="Fluxo de Caixa" sheetId="9" r:id="rId13"/>
    <sheet state="visible" name="DRE" sheetId="10" r:id="rId14"/>
    <sheet state="visible" name="RESUMO" sheetId="11" r:id="rId15"/>
    <sheet state="visible" name="Dashboard" sheetId="12" r:id="rId16"/>
    <sheet state="visible" name="Dash-Cel" sheetId="13" r:id="rId17"/>
    <sheet state="visible" name="dash-tab" sheetId="14" r:id="rId18"/>
    <sheet state="visible" name="XX" sheetId="15" r:id="rId19"/>
    <sheet state="visible" name="X" sheetId="16" r:id="rId20"/>
    <sheet state="visible" name="Prev Real" sheetId="17" r:id="rId21"/>
  </sheets>
  <definedNames>
    <definedName name="Receitas">X!$V$2:$V$15</definedName>
    <definedName name="CatReceitas">'Plano de Contas'!$B$4:$H$4</definedName>
    <definedName name="RecebimentosVencidos">XX!$A$1:$K$999</definedName>
    <definedName name="MesAtual">X!$Q$5</definedName>
    <definedName name="Plano_receitas">'Plano de Contas'!$B$5:$H$195</definedName>
    <definedName name="Categorias">X!$V$2:$V$15</definedName>
    <definedName name="bancos">Cadastros!$B$6:$B$19</definedName>
    <definedName name="Tcentrocustos">X!$G$2:$G$6</definedName>
    <definedName name="CatDespesas">'Plano de Contas'!$J$4:$Z$4</definedName>
    <definedName name="Meses">X!$I$2:$I$14</definedName>
    <definedName name="CentroCustos">Cadastros!$M$6:$M$19</definedName>
    <definedName name="Fornecedores">Cadastros!$I$6:$I$998</definedName>
    <definedName name="formaspgto">Cadastros!$K$6:$K$79</definedName>
    <definedName name="Tfornecedores">X!$N$2:$N$1001</definedName>
    <definedName name="Tbancos">X!$A$2:$A$1001</definedName>
    <definedName name="plano_despesas">'Plano de Contas'!$J$5:$Z$195</definedName>
    <definedName name="Clientes">Cadastros!$G$6:$G$998</definedName>
    <definedName name="Tclientes">X!$L$2:$L$1001</definedName>
    <definedName hidden="1" localSheetId="3" name="_xlnm._FilterDatabase">Entradas!$B$2:$L$26</definedName>
    <definedName hidden="1" localSheetId="4" name="_xlnm._FilterDatabase">'Saídas'!$B$2:$L$26</definedName>
    <definedName hidden="1" localSheetId="3" name="Z_F64FA981_E931_4385_A599_C21AC2F5CF54_.wvu.FilterData">Entradas!$B$2:$L$26</definedName>
    <definedName hidden="1" localSheetId="4" name="Z_CF18F993_05F1_4AF9_9639_BEA76575F38E_.wvu.FilterData">'Saídas'!$B$2:$L$26</definedName>
    <definedName hidden="1" localSheetId="3" name="Z_CF18F993_05F1_4AF9_9639_BEA76575F38E_.wvu.FilterData">Entradas!$B$2:$L$26</definedName>
    <definedName hidden="1" localSheetId="3" name="Z_CF18F993_05F1_4AF9_9639_BEA76575F38E_.wvu.FilterData">Entradas!$B$2:$L$1000</definedName>
  </definedNames>
  <calcPr/>
  <customWorkbookViews>
    <customWorkbookView activeSheetId="0" maximized="1" windowHeight="0" windowWidth="0" guid="{F64FA981-E931-4385-A599-C21AC2F5CF54}" name="Previsto"/>
    <customWorkbookView activeSheetId="0" maximized="1" windowHeight="0" windowWidth="0" guid="{CF18F993-05F1-4AF9-9639-BEA76575F38E}" name="Filtro 1"/>
  </customWorkbookViews>
</workbook>
</file>

<file path=xl/sharedStrings.xml><?xml version="1.0" encoding="utf-8"?>
<sst xmlns="http://schemas.openxmlformats.org/spreadsheetml/2006/main" count="745" uniqueCount="275">
  <si>
    <t>IMPORTANTE</t>
  </si>
  <si>
    <t>ACESSE NOSSO SITE E CONHEÇA NOSSAS OUTRAS PLANILHAS</t>
  </si>
  <si>
    <t>macrobit.com.br</t>
  </si>
  <si>
    <t>Cadastros</t>
  </si>
  <si>
    <t>CATEGORIAS DE RECEITAS</t>
  </si>
  <si>
    <t>CATEGORIAS DE DESPESAS</t>
  </si>
  <si>
    <t>CONTAS BANCÁRIAS</t>
  </si>
  <si>
    <r>
      <rPr>
        <rFont val="Arial"/>
        <color theme="1"/>
        <sz val="13.0"/>
      </rPr>
      <t xml:space="preserve">Para utilizar sua planilha você deve clicar em </t>
    </r>
    <r>
      <rPr>
        <rFont val="Arial"/>
        <b/>
        <color theme="1"/>
        <sz val="13.0"/>
      </rPr>
      <t xml:space="preserve">"Arquivo" </t>
    </r>
    <r>
      <rPr>
        <rFont val="Arial"/>
        <color theme="1"/>
        <sz val="13.0"/>
      </rPr>
      <t xml:space="preserve">e depois em </t>
    </r>
    <r>
      <rPr>
        <rFont val="Arial"/>
        <b/>
        <color theme="1"/>
        <sz val="13.0"/>
      </rPr>
      <t>"Fazer Cópia"</t>
    </r>
    <r>
      <rPr>
        <rFont val="Arial"/>
        <color theme="1"/>
        <sz val="13.0"/>
      </rPr>
      <t>! Assim você salvará uma cópia associada a sua conta google.</t>
    </r>
  </si>
  <si>
    <t>Centro de Custos</t>
  </si>
  <si>
    <t>SALDO</t>
  </si>
  <si>
    <t>DATA</t>
  </si>
  <si>
    <t>Clientes</t>
  </si>
  <si>
    <t>Fornecedores</t>
  </si>
  <si>
    <t>Receitas Operacionais</t>
  </si>
  <si>
    <t>Outras Receitas Operacionais</t>
  </si>
  <si>
    <t>Receitas Financeiras</t>
  </si>
  <si>
    <t>Formas de Pagamento</t>
  </si>
  <si>
    <t>Receitas não operacionais</t>
  </si>
  <si>
    <t>Deduções sobre vendas</t>
  </si>
  <si>
    <t>Custo das Vendas</t>
  </si>
  <si>
    <t>Banco Inter</t>
  </si>
  <si>
    <t>Despesas administrativas</t>
  </si>
  <si>
    <t>Despesa com Pessoal</t>
  </si>
  <si>
    <t>Despesa Comercial</t>
  </si>
  <si>
    <t>Despesa Financeira</t>
  </si>
  <si>
    <t>Despesas não operacionais</t>
  </si>
  <si>
    <t>Impostos</t>
  </si>
  <si>
    <t>Participação e Dividendos</t>
  </si>
  <si>
    <t>Dinheiro</t>
  </si>
  <si>
    <t>Jamais peça acesso a planilha da Macro Bit, o procedimento correto é salvar a sua própria cópia do arquivo Raiz!</t>
  </si>
  <si>
    <t>Entradas Caixinha</t>
  </si>
  <si>
    <r>
      <rPr>
        <rFont val="Arial"/>
        <color theme="1"/>
        <sz val="14.0"/>
      </rPr>
      <t xml:space="preserve">Em caso de dúvidas, chame nosso suporte no whatsapp:                     </t>
    </r>
    <r>
      <rPr>
        <rFont val="Arial"/>
        <b/>
        <color theme="1"/>
        <sz val="16.0"/>
      </rPr>
      <t xml:space="preserve"> (22) 98152-6045</t>
    </r>
  </si>
  <si>
    <t>Juros</t>
  </si>
  <si>
    <t>Aportes de Sócio</t>
  </si>
  <si>
    <t>Comissão 10%</t>
  </si>
  <si>
    <t>Pão</t>
  </si>
  <si>
    <t>Luz</t>
  </si>
  <si>
    <t>Salários</t>
  </si>
  <si>
    <t>Tarifas Bancárias</t>
  </si>
  <si>
    <t>Financiamento</t>
  </si>
  <si>
    <t>PIS</t>
  </si>
  <si>
    <t>Retiradas dos Sócios</t>
  </si>
  <si>
    <t>Credito</t>
  </si>
  <si>
    <t>Rentabilidade de Aplicações</t>
  </si>
  <si>
    <t>Venda de bens - Valor residual</t>
  </si>
  <si>
    <t>Motoboy</t>
  </si>
  <si>
    <t>Carne</t>
  </si>
  <si>
    <t>Água</t>
  </si>
  <si>
    <t>13º Salário</t>
  </si>
  <si>
    <t>Taxas e Desp. de Cobrança</t>
  </si>
  <si>
    <t>Gastos Não Identificados</t>
  </si>
  <si>
    <t>COFINS</t>
  </si>
  <si>
    <t>Participação no Lucro</t>
  </si>
  <si>
    <t>Debito</t>
  </si>
  <si>
    <t>Empréstimos bancários</t>
  </si>
  <si>
    <t>Tx. Cartão</t>
  </si>
  <si>
    <t>Queijos</t>
  </si>
  <si>
    <t>Projeto 01</t>
  </si>
  <si>
    <t>Internet</t>
  </si>
  <si>
    <t>Adiantamento Salarial</t>
  </si>
  <si>
    <t>Outras Despesas Financeiras</t>
  </si>
  <si>
    <t>Investimento em Patrimonio</t>
  </si>
  <si>
    <t>CSLL</t>
  </si>
  <si>
    <t>Pix</t>
  </si>
  <si>
    <t>Valores de terceiros</t>
  </si>
  <si>
    <t>Devoluções</t>
  </si>
  <si>
    <t>Bacon</t>
  </si>
  <si>
    <t>Rogério Ceni</t>
  </si>
  <si>
    <t>Aluguel</t>
  </si>
  <si>
    <t>Fornecedor 01</t>
  </si>
  <si>
    <t>Aquisição de Equipamentos</t>
  </si>
  <si>
    <t>Combustível</t>
  </si>
  <si>
    <t>INSS - Funcionarios</t>
  </si>
  <si>
    <t>Nubank</t>
  </si>
  <si>
    <t>Ifood</t>
  </si>
  <si>
    <t>Empréstimo Luiz</t>
  </si>
  <si>
    <t>DAS</t>
  </si>
  <si>
    <t>Projeto 02</t>
  </si>
  <si>
    <t>Congelados</t>
  </si>
  <si>
    <t>Contador</t>
  </si>
  <si>
    <t>Assistência médica</t>
  </si>
  <si>
    <t>Roger Machado</t>
  </si>
  <si>
    <t>Fornecedor 02</t>
  </si>
  <si>
    <t>Multas</t>
  </si>
  <si>
    <t>Doblô</t>
  </si>
  <si>
    <t>INSS - Patronal</t>
  </si>
  <si>
    <t>V. Refeição</t>
  </si>
  <si>
    <t>Empréstimo Diogo</t>
  </si>
  <si>
    <t>Taxa Ifood</t>
  </si>
  <si>
    <t>Luiz Castro</t>
  </si>
  <si>
    <t>Picanha e Costela</t>
  </si>
  <si>
    <t>Fornecedor 03</t>
  </si>
  <si>
    <t>Marketing</t>
  </si>
  <si>
    <t>Cartão</t>
  </si>
  <si>
    <t>Bonificação Fixo</t>
  </si>
  <si>
    <t>Projeto 03</t>
  </si>
  <si>
    <t>IOF</t>
  </si>
  <si>
    <t>Obras e Manutenção</t>
  </si>
  <si>
    <t>IRRF</t>
  </si>
  <si>
    <t>Rafael Paiva</t>
  </si>
  <si>
    <t>Boleto</t>
  </si>
  <si>
    <t>Projeto 04</t>
  </si>
  <si>
    <t/>
  </si>
  <si>
    <t>Emprestimo Iago</t>
  </si>
  <si>
    <t>Frutas</t>
  </si>
  <si>
    <t>Segurança</t>
  </si>
  <si>
    <t>Férias</t>
  </si>
  <si>
    <t>Empréstimos Luiz</t>
  </si>
  <si>
    <t>ISS</t>
  </si>
  <si>
    <t>Gás</t>
  </si>
  <si>
    <t>Sistema</t>
  </si>
  <si>
    <t>FGTS</t>
  </si>
  <si>
    <t>Empréstimos Diogo</t>
  </si>
  <si>
    <t>ICMS</t>
  </si>
  <si>
    <t>Bebidas</t>
  </si>
  <si>
    <t>Limpeza</t>
  </si>
  <si>
    <t>Horas-extras</t>
  </si>
  <si>
    <t>Tarifas</t>
  </si>
  <si>
    <t>Mercado</t>
  </si>
  <si>
    <t>Descrição</t>
  </si>
  <si>
    <t>INSS (funcionários)</t>
  </si>
  <si>
    <t>Diferença de Caixa</t>
  </si>
  <si>
    <t>INSS (patronal)</t>
  </si>
  <si>
    <t>Multas e Juros</t>
  </si>
  <si>
    <t>IRPF</t>
  </si>
  <si>
    <t>Outros</t>
  </si>
  <si>
    <t>Plano de saúde dos Sócios</t>
  </si>
  <si>
    <t>Categoria</t>
  </si>
  <si>
    <t>Pró labore</t>
  </si>
  <si>
    <t>Classificação</t>
  </si>
  <si>
    <t>Refeição de Funcionários / Ticket</t>
  </si>
  <si>
    <t>Data da Competência</t>
  </si>
  <si>
    <t>Rescisões trabalhistas</t>
  </si>
  <si>
    <t>Data do Recebimento</t>
  </si>
  <si>
    <t>Salários Escritório</t>
  </si>
  <si>
    <t>Status</t>
  </si>
  <si>
    <t>Seguro de Vida</t>
  </si>
  <si>
    <t>Cliente</t>
  </si>
  <si>
    <t>Valores</t>
  </si>
  <si>
    <t>Treinamentos e Capacitações</t>
  </si>
  <si>
    <t>Forma de Recebimento</t>
  </si>
  <si>
    <t>Conta Financeira</t>
  </si>
  <si>
    <t>Uniformes / EPI / EPC</t>
  </si>
  <si>
    <t>Vale-transportes</t>
  </si>
  <si>
    <t>Vendas em dinheiro</t>
  </si>
  <si>
    <t>Realizado</t>
  </si>
  <si>
    <t>Data do Pagamento</t>
  </si>
  <si>
    <t>Fornecedor</t>
  </si>
  <si>
    <t>Compra de queijo</t>
  </si>
  <si>
    <t>Previsto</t>
  </si>
  <si>
    <t>Vendas em pix</t>
  </si>
  <si>
    <t>Vendas Crédito</t>
  </si>
  <si>
    <t>Salário José</t>
  </si>
  <si>
    <t>Vendas no débito</t>
  </si>
  <si>
    <t>Salário Mária</t>
  </si>
  <si>
    <t>Taxa do cartão</t>
  </si>
  <si>
    <t>Deduções Sobre Vendas</t>
  </si>
  <si>
    <t>Custo da Mercadoria</t>
  </si>
  <si>
    <t>Venda de carro João 1/3</t>
  </si>
  <si>
    <t>Conta de Origem</t>
  </si>
  <si>
    <t>Conta de Destino</t>
  </si>
  <si>
    <t>Data</t>
  </si>
  <si>
    <t>Valor</t>
  </si>
  <si>
    <t>Teste de caixa negativo</t>
  </si>
  <si>
    <t>Venda de carro João 2/3</t>
  </si>
  <si>
    <t>Venda de carro João 3/3</t>
  </si>
  <si>
    <t>Contas a Receber</t>
  </si>
  <si>
    <t>FILTROS PARA CONTAS A RECEBER</t>
  </si>
  <si>
    <t>CONTAS A RECEBER</t>
  </si>
  <si>
    <t>Ano:</t>
  </si>
  <si>
    <t>Inicio</t>
  </si>
  <si>
    <t>TOTAL A RECEBER</t>
  </si>
  <si>
    <t>Mês:</t>
  </si>
  <si>
    <t>Todos</t>
  </si>
  <si>
    <t>Cliente:</t>
  </si>
  <si>
    <t>Final</t>
  </si>
  <si>
    <t>Centro de custos:</t>
  </si>
  <si>
    <t>Descrição da conta</t>
  </si>
  <si>
    <t>Vencimento</t>
  </si>
  <si>
    <t>TOTAL A PAGAR</t>
  </si>
  <si>
    <t>Venda no Pix</t>
  </si>
  <si>
    <t>Vendas no Débito</t>
  </si>
  <si>
    <t>Vendas no Crédito</t>
  </si>
  <si>
    <t>Fluxo de Caixa</t>
  </si>
  <si>
    <t>FILTROS DO FLUXO DE CAIXA</t>
  </si>
  <si>
    <t>Status:</t>
  </si>
  <si>
    <t>Banco:</t>
  </si>
  <si>
    <t>Total do Ano</t>
  </si>
  <si>
    <t>Saldo Inícial</t>
  </si>
  <si>
    <t>DRE - Demonstrativo do Resultado do Exercício</t>
  </si>
  <si>
    <t>FILTROS PARA O DRE</t>
  </si>
  <si>
    <t>Ambos</t>
  </si>
  <si>
    <t xml:space="preserve"> </t>
  </si>
  <si>
    <t>Total</t>
  </si>
  <si>
    <t>DEMONSTRATIVO DO RESULTADO DO EXERCÍCIO</t>
  </si>
  <si>
    <t>APLICAR FILTROS AO RESUMO</t>
  </si>
  <si>
    <t>LUCRO LIQUIDO</t>
  </si>
  <si>
    <t>Data Inicial</t>
  </si>
  <si>
    <t>Data Final</t>
  </si>
  <si>
    <t>Receita Bruta</t>
  </si>
  <si>
    <t>LUCRO OPERACIONAL</t>
  </si>
  <si>
    <t>Receita Liquida</t>
  </si>
  <si>
    <t>CUSTOS FIXOS</t>
  </si>
  <si>
    <t>Resultado Operacional Bruto</t>
  </si>
  <si>
    <t>Saldo em Contas</t>
  </si>
  <si>
    <t>Hoje</t>
  </si>
  <si>
    <t>RECEBER</t>
  </si>
  <si>
    <t>A RECEBER</t>
  </si>
  <si>
    <t>HOJE</t>
  </si>
  <si>
    <t>ESSE MÊS</t>
  </si>
  <si>
    <t>TOTAL EM ABERTO</t>
  </si>
  <si>
    <t>MARGEM DE CONTRIBUIÇÃO</t>
  </si>
  <si>
    <t>CUSTOS VARIÁVEIS</t>
  </si>
  <si>
    <t>PAGAR</t>
  </si>
  <si>
    <t>A PAGAR</t>
  </si>
  <si>
    <t>Resultado Operacional Líquido</t>
  </si>
  <si>
    <t>CUSTO DAS VENDAS</t>
  </si>
  <si>
    <t>PONTO DE EQUILÍBRIO OPERACIONAL</t>
  </si>
  <si>
    <t>SALDO ATUAL</t>
  </si>
  <si>
    <t>Resultado Liquido</t>
  </si>
  <si>
    <t>Resultado Líquido do Exercício</t>
  </si>
  <si>
    <t>MAIORES CLIENTES NO PERÍODO</t>
  </si>
  <si>
    <t>MAIORES FORNECEDORES</t>
  </si>
  <si>
    <t>RECEITAS NO PERÍODO</t>
  </si>
  <si>
    <t>Entradas</t>
  </si>
  <si>
    <t>DESPESAS NO PERÍODO</t>
  </si>
  <si>
    <t>DEMONSTRATIVO DO RESULTADO DO MÊS</t>
  </si>
  <si>
    <t>Saídas</t>
  </si>
  <si>
    <t>PROJEÇÃO DO FLUXO DE CAIXA (15 DIAS)</t>
  </si>
  <si>
    <t>RESULTADO DOS ULTIMOS 6 MESES</t>
  </si>
  <si>
    <t>MAIORES CLIENTES</t>
  </si>
  <si>
    <t>VALOR</t>
  </si>
  <si>
    <t>ENTRADAS</t>
  </si>
  <si>
    <t>SAÍDAS</t>
  </si>
  <si>
    <t>MÊS</t>
  </si>
  <si>
    <t>RECEITAS</t>
  </si>
  <si>
    <t>DESPESAS</t>
  </si>
  <si>
    <t>RESULTADO</t>
  </si>
  <si>
    <t>BANCOS</t>
  </si>
  <si>
    <t>Centro de custos</t>
  </si>
  <si>
    <t>TABELA DE MESES</t>
  </si>
  <si>
    <t>CLIENTES</t>
  </si>
  <si>
    <t>Dia Atual</t>
  </si>
  <si>
    <t>Domingo</t>
  </si>
  <si>
    <t>CATEGORIAS</t>
  </si>
  <si>
    <t>STATUS</t>
  </si>
  <si>
    <t>Mês atual</t>
  </si>
  <si>
    <t>Segunda-Feira</t>
  </si>
  <si>
    <t>BANCO</t>
  </si>
  <si>
    <t>Janeiro</t>
  </si>
  <si>
    <t>Ano atual</t>
  </si>
  <si>
    <t>Terça-Feira</t>
  </si>
  <si>
    <t>CENTRO</t>
  </si>
  <si>
    <t>Fevereiro</t>
  </si>
  <si>
    <t>Quarta-Feira</t>
  </si>
  <si>
    <t>Março</t>
  </si>
  <si>
    <t>Mes atual inicio</t>
  </si>
  <si>
    <t>Quinta-Feira</t>
  </si>
  <si>
    <t>FILTROS DO DRE</t>
  </si>
  <si>
    <t>Abril</t>
  </si>
  <si>
    <t>Sexta-Feira</t>
  </si>
  <si>
    <t>maio</t>
  </si>
  <si>
    <t>Sábado</t>
  </si>
  <si>
    <t>junho</t>
  </si>
  <si>
    <t>julho</t>
  </si>
  <si>
    <t>agosto</t>
  </si>
  <si>
    <t>setembro</t>
  </si>
  <si>
    <t>FILTROS DO RESUMO</t>
  </si>
  <si>
    <t>outubro</t>
  </si>
  <si>
    <t>novembro</t>
  </si>
  <si>
    <t>dezembro</t>
  </si>
  <si>
    <t>Resultado do Mês</t>
  </si>
  <si>
    <t>Ajuste de Transferência interna</t>
  </si>
  <si>
    <t>TOTAL</t>
  </si>
  <si>
    <t>Disponível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</si>
</sst>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[$R$ -416]#,##0.00"/>
    <numFmt numFmtId="165" formatCode="dd/MM/yyyy"/>
    <numFmt numFmtId="166" formatCode="dd/mm"/>
    <numFmt numFmtId="167" formatCode="dd/mm/yyyy"/>
    <numFmt numFmtId="168" formatCode="[$-416]d\-mmm\-yy"/>
    <numFmt numFmtId="169" formatCode="_-&quot;R$&quot;\ * #,##0.00_-;\-&quot;R$&quot;\ * #,##0.00_-;_-&quot;R$&quot;\ * &quot;-&quot;??_-;_-@"/>
    <numFmt numFmtId="170" formatCode="mmmm"/>
    <numFmt numFmtId="171" formatCode="&quot;R$&quot;\ #,##0.00"/>
    <numFmt numFmtId="172" formatCode="&quot;R$&quot;\ #,##0.00;[Red]\-&quot;R$&quot;\ #,##0.00"/>
  </numFmts>
  <fonts count="62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Calibri"/>
    </font>
    <font>
      <sz val="20.0"/>
      <color theme="1"/>
      <name val="Arial"/>
    </font>
    <font/>
    <font>
      <sz val="20.0"/>
      <color rgb="FF4ABDAC"/>
      <name val="Calibri"/>
    </font>
    <font>
      <u/>
      <color rgb="FF0000FF"/>
    </font>
    <font>
      <sz val="20.0"/>
      <color rgb="FFFC4A1A"/>
      <name val="Calibri"/>
    </font>
    <font>
      <sz val="16.0"/>
      <color rgb="FF4ABDAC"/>
      <name val="Calibri"/>
    </font>
    <font>
      <sz val="13.0"/>
      <color theme="1"/>
      <name val="Arial"/>
    </font>
    <font>
      <sz val="12.0"/>
      <color rgb="FF595959"/>
      <name val="Calibri"/>
    </font>
    <font>
      <color theme="1"/>
      <name val="Arial"/>
    </font>
    <font>
      <sz val="11.0"/>
      <color rgb="FF434343"/>
      <name val="Calibri"/>
    </font>
    <font>
      <sz val="14.0"/>
      <color theme="1"/>
      <name val="Arial"/>
    </font>
    <font>
      <sz val="12.0"/>
      <color theme="1"/>
      <name val="Calibri"/>
    </font>
    <font>
      <sz val="11.0"/>
      <color rgb="FF595959"/>
      <name val="Calibri"/>
    </font>
    <font>
      <sz val="11.0"/>
      <color rgb="FF0070C0"/>
      <name val="Calibri"/>
    </font>
    <font>
      <color rgb="FF434343"/>
      <name val="Arial"/>
      <scheme val="minor"/>
    </font>
    <font>
      <b/>
      <sz val="11.0"/>
      <color rgb="FFFFFFFF"/>
      <name val="Calibri"/>
    </font>
    <font>
      <u/>
      <sz val="12.0"/>
      <color rgb="FF4ABDAC"/>
      <name val="Arial"/>
      <scheme val="minor"/>
    </font>
    <font>
      <b/>
      <u/>
      <sz val="14.0"/>
      <color rgb="FF4ABDAC"/>
      <name val="Arial"/>
      <scheme val="minor"/>
    </font>
    <font>
      <b/>
      <color rgb="FFFFFFFF"/>
      <name val="Arial"/>
      <scheme val="minor"/>
    </font>
    <font>
      <b/>
      <sz val="14.0"/>
      <color rgb="FFFFFFFF"/>
      <name val="Arial"/>
      <scheme val="minor"/>
    </font>
    <font>
      <u/>
      <sz val="12.0"/>
      <color rgb="FF4ABDAC"/>
      <name val="Arial"/>
      <scheme val="minor"/>
    </font>
    <font>
      <b/>
      <u/>
      <sz val="12.0"/>
      <color rgb="FFFFFFFF"/>
      <name val="Arial"/>
      <scheme val="minor"/>
    </font>
    <font>
      <b/>
      <u/>
      <sz val="14.0"/>
      <color rgb="FFFFFFFF"/>
      <name val="Arial"/>
      <scheme val="minor"/>
    </font>
    <font>
      <sz val="11.0"/>
      <color rgb="FFFFFFFF"/>
      <name val="Arial"/>
      <scheme val="minor"/>
    </font>
    <font>
      <color theme="0"/>
      <name val="Arial"/>
      <scheme val="minor"/>
    </font>
    <font>
      <b/>
      <u/>
      <sz val="14.0"/>
      <color rgb="FFFFFFFF"/>
      <name val="Arial"/>
      <scheme val="minor"/>
    </font>
    <font>
      <color rgb="FFFFFFFF"/>
      <name val="Arial"/>
      <scheme val="minor"/>
    </font>
    <font>
      <u/>
      <color rgb="FF4ABDAC"/>
      <name val="Arial"/>
      <scheme val="minor"/>
    </font>
    <font>
      <color theme="1"/>
      <name val="Calibri"/>
    </font>
    <font>
      <sz val="9.0"/>
      <color theme="1"/>
      <name val="Calibri"/>
    </font>
    <font>
      <color rgb="FFFFFFFF"/>
      <name val="Calibri"/>
    </font>
    <font>
      <sz val="9.0"/>
      <color rgb="FF171616"/>
      <name val="Calibri"/>
    </font>
    <font>
      <sz val="12.0"/>
      <color rgb="FF4ABDAC"/>
      <name val="Calibri"/>
    </font>
    <font>
      <sz val="20.0"/>
      <color rgb="FFFFFFFF"/>
      <name val="Arial"/>
      <scheme val="minor"/>
    </font>
    <font>
      <sz val="36.0"/>
      <color rgb="FFFFFFFF"/>
      <name val="Arial"/>
      <scheme val="minor"/>
    </font>
    <font>
      <sz val="12.0"/>
      <color rgb="FFFFFFFF"/>
      <name val="Arial"/>
      <scheme val="minor"/>
    </font>
    <font>
      <b/>
      <sz val="15.0"/>
      <color rgb="FFFFFFFF"/>
      <name val="Arial"/>
      <scheme val="minor"/>
    </font>
    <font>
      <sz val="18.0"/>
      <color rgb="FFFFFFFF"/>
      <name val="Arial"/>
      <scheme val="minor"/>
    </font>
    <font>
      <sz val="10.0"/>
      <color rgb="FFFFFFFF"/>
      <name val="Arial"/>
      <scheme val="minor"/>
    </font>
    <font>
      <sz val="24.0"/>
      <color rgb="FFFFFFFF"/>
      <name val="Arial"/>
      <scheme val="minor"/>
    </font>
    <font>
      <color rgb="FF595959"/>
      <name val="Arial"/>
      <scheme val="minor"/>
    </font>
    <font>
      <b/>
      <sz val="14.0"/>
      <color rgb="FF595959"/>
      <name val="Arial"/>
      <scheme val="minor"/>
    </font>
    <font>
      <b/>
      <sz val="11.0"/>
      <color rgb="FF595959"/>
      <name val="Calibri"/>
    </font>
    <font>
      <sz val="14.0"/>
      <color rgb="FF4ABDAC"/>
      <name val="Calibri"/>
    </font>
    <font>
      <sz val="12.0"/>
      <color rgb="FF666666"/>
      <name val="Arial"/>
      <scheme val="minor"/>
    </font>
    <font>
      <color rgb="FF666666"/>
      <name val="Arial"/>
      <scheme val="minor"/>
    </font>
    <font>
      <sz val="9.0"/>
      <color rgb="FFFFFFFF"/>
      <name val="Calibri"/>
    </font>
    <font>
      <b/>
      <sz val="9.0"/>
      <color rgb="FFFFFFFF"/>
      <name val="Calibri"/>
    </font>
    <font>
      <color rgb="FF262626"/>
      <name val="Calibri"/>
    </font>
    <font>
      <sz val="9.0"/>
      <color rgb="FF262626"/>
      <name val="Calibri"/>
    </font>
    <font>
      <sz val="14.0"/>
      <color rgb="FFFFFFFF"/>
      <name val="Arial"/>
      <scheme val="minor"/>
    </font>
    <font>
      <b/>
      <sz val="18.0"/>
      <color rgb="FFFFFFFF"/>
      <name val="Arial"/>
      <scheme val="minor"/>
    </font>
    <font>
      <sz val="13.0"/>
      <color rgb="FFFFFFFF"/>
      <name val="Arial"/>
      <scheme val="minor"/>
    </font>
    <font>
      <sz val="16.0"/>
      <color theme="1"/>
      <name val="Calibri"/>
    </font>
    <font>
      <sz val="14.0"/>
      <color rgb="FF171616"/>
      <name val="Calibri"/>
    </font>
    <font>
      <sz val="14.0"/>
      <color theme="1"/>
      <name val="Calibri"/>
    </font>
    <font>
      <sz val="16.0"/>
      <color rgb="FF666666"/>
      <name val="Arial"/>
      <scheme val="minor"/>
    </font>
    <font>
      <color theme="7"/>
      <name val="Arial"/>
      <scheme val="minor"/>
    </font>
    <font>
      <color theme="5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4ABDAC"/>
        <bgColor rgb="FF4ABDAC"/>
      </patternFill>
    </fill>
    <fill>
      <patternFill patternType="solid">
        <fgColor rgb="FFFC4A1A"/>
        <bgColor rgb="FFFC4A1A"/>
      </patternFill>
    </fill>
    <fill>
      <patternFill patternType="solid">
        <fgColor rgb="FFE2EFD9"/>
        <bgColor rgb="FFE2EFD9"/>
      </patternFill>
    </fill>
    <fill>
      <patternFill patternType="solid">
        <fgColor rgb="FFF4CCCC"/>
        <bgColor rgb="FFF4CCCC"/>
      </patternFill>
    </fill>
    <fill>
      <patternFill patternType="solid">
        <fgColor rgb="FFDFDCE3"/>
        <bgColor rgb="FFDFDCE3"/>
      </patternFill>
    </fill>
    <fill>
      <patternFill patternType="solid">
        <fgColor rgb="FFFFFFFF"/>
        <bgColor rgb="FFFFFFFF"/>
      </patternFill>
    </fill>
    <fill>
      <patternFill patternType="solid">
        <fgColor theme="7"/>
        <bgColor theme="7"/>
      </patternFill>
    </fill>
    <fill>
      <patternFill patternType="solid">
        <fgColor rgb="FFF7B733"/>
        <bgColor rgb="FFF7B733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F6F8F9"/>
        <bgColor rgb="FFF6F8F9"/>
      </patternFill>
    </fill>
    <fill>
      <patternFill patternType="solid">
        <fgColor rgb="FFBFBFBF"/>
        <bgColor rgb="FFBFBFBF"/>
      </patternFill>
    </fill>
  </fills>
  <borders count="5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/>
      <top/>
      <bottom/>
    </border>
    <border>
      <left/>
      <right/>
      <top/>
    </border>
    <border>
      <left style="thin">
        <color rgb="FF000000"/>
      </left>
    </border>
    <border>
      <right style="thin">
        <color rgb="FF000000"/>
      </right>
    </border>
    <border>
      <bottom style="medium">
        <color rgb="FFF7B733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999999"/>
      </bottom>
    </border>
    <border>
      <left/>
      <right/>
      <top style="dotted">
        <color rgb="FFBFBFBF"/>
      </top>
      <bottom style="dotted">
        <color rgb="FFBFBFBF"/>
      </bottom>
    </border>
    <border>
      <left/>
      <right/>
      <top style="medium">
        <color rgb="FFF7B733"/>
      </top>
      <bottom style="dotted">
        <color rgb="FFBFBFBF"/>
      </bottom>
    </border>
    <border>
      <bottom style="thin">
        <color rgb="FFF7B733"/>
      </bottom>
    </border>
    <border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medium">
        <color rgb="FFF7B733"/>
      </left>
      <bottom style="medium">
        <color rgb="FFF7B733"/>
      </bottom>
    </border>
    <border>
      <top style="medium">
        <color rgb="FFF7B733"/>
      </top>
    </border>
    <border>
      <left style="medium">
        <color rgb="FFF7B733"/>
      </left>
    </border>
    <border>
      <left/>
      <right/>
      <top style="dotted">
        <color rgb="FFDFDCE3"/>
      </top>
      <bottom style="dotted">
        <color rgb="FFDFDCE3"/>
      </bottom>
    </border>
    <border>
      <left style="medium">
        <color rgb="FFF7B733"/>
      </left>
      <right/>
      <top style="dotted">
        <color rgb="FFDFDCE3"/>
      </top>
      <bottom style="dotted">
        <color rgb="FFDFDCE3"/>
      </bottom>
    </border>
    <border>
      <top style="dotted">
        <color rgb="FFDFDCE3"/>
      </top>
      <bottom style="dotted">
        <color rgb="FFDFDCE3"/>
      </bottom>
    </border>
    <border>
      <left/>
      <right/>
      <top style="thin">
        <color rgb="FFF7B733"/>
      </top>
      <bottom style="thin">
        <color rgb="FFF7B733"/>
      </bottom>
    </border>
    <border>
      <left/>
      <top style="thin">
        <color rgb="FFF7B733"/>
      </top>
      <bottom style="thin">
        <color rgb="FFF7B733"/>
      </bottom>
    </border>
    <border>
      <left style="medium">
        <color rgb="FFF7B733"/>
      </left>
      <top style="dotted">
        <color rgb="FFDFDCE3"/>
      </top>
      <bottom style="dotted">
        <color rgb="FFDFDCE3"/>
      </bottom>
    </border>
    <border>
      <bottom style="hair">
        <color rgb="FFB7B7B7"/>
      </bottom>
    </border>
    <border>
      <left/>
      <top style="dotted">
        <color rgb="FFDFDCE3"/>
      </top>
      <bottom style="dotted">
        <color rgb="FFDFDCE3"/>
      </bottom>
    </border>
    <border>
      <left style="hair">
        <color rgb="FFB7B7B7"/>
      </left>
      <right style="hair">
        <color rgb="FFB7B7B7"/>
      </right>
    </border>
    <border>
      <top style="hair">
        <color rgb="FFB7B7B7"/>
      </top>
      <bottom style="hair">
        <color rgb="FFB7B7B7"/>
      </bottom>
    </border>
    <border>
      <left style="medium">
        <color rgb="FFF7B733"/>
      </left>
      <right/>
      <top/>
      <bottom/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bottom style="dotted">
        <color rgb="FFD8D8D8"/>
      </bottom>
    </border>
    <border>
      <left style="medium">
        <color rgb="FFF7B733"/>
      </left>
      <right/>
      <top style="thin">
        <color rgb="FFF7B733"/>
      </top>
      <bottom style="thin">
        <color rgb="FFF7B733"/>
      </bottom>
    </border>
    <border>
      <left style="medium">
        <color rgb="FFF7B733"/>
      </left>
      <bottom style="dotted">
        <color rgb="FFD8D8D8"/>
      </bottom>
    </border>
    <border>
      <bottom style="dotted">
        <color rgb="FFDFDCE3"/>
      </bottom>
    </border>
    <border>
      <top style="dotted">
        <color rgb="FFDFDCE3"/>
      </top>
    </border>
    <border>
      <left/>
      <bottom style="thin">
        <color rgb="FFF7B733"/>
      </bottom>
    </border>
    <border>
      <right/>
      <bottom style="thin">
        <color rgb="FFF7B733"/>
      </bottom>
    </border>
    <border>
      <top style="thin">
        <color rgb="FFF7B733"/>
      </top>
      <bottom style="thin">
        <color rgb="FFF7B733"/>
      </bottom>
    </border>
    <border>
      <left/>
    </border>
    <border>
      <right/>
    </border>
    <border>
      <left/>
      <right/>
    </border>
    <border>
      <right/>
      <top style="dotted">
        <color rgb="FFDFDCE3"/>
      </top>
      <bottom style="dotted">
        <color rgb="FFDFDCE3"/>
      </bottom>
    </border>
    <border>
      <right/>
      <top style="thin">
        <color rgb="FFF7B733"/>
      </top>
      <bottom style="thin">
        <color rgb="FFF7B733"/>
      </bottom>
    </border>
    <border>
      <left/>
      <right/>
      <bottom style="thin">
        <color rgb="FFF7B733"/>
      </bottom>
    </border>
    <border>
      <left style="thin">
        <color rgb="FFF7B733"/>
      </left>
      <top style="thin">
        <color rgb="FFF7B733"/>
      </top>
    </border>
    <border>
      <right style="thin">
        <color rgb="FFF7B733"/>
      </right>
      <top style="thin">
        <color rgb="FFF7B733"/>
      </top>
    </border>
    <border>
      <left style="thin">
        <color rgb="FFF7B733"/>
      </left>
    </border>
    <border>
      <right style="thin">
        <color rgb="FFF7B733"/>
      </right>
    </border>
    <border>
      <left style="thin">
        <color rgb="FFF7B733"/>
      </left>
      <bottom style="thin">
        <color rgb="FFF7B733"/>
      </bottom>
    </border>
    <border>
      <right style="thin">
        <color rgb="FFF7B733"/>
      </right>
      <bottom style="thin">
        <color rgb="FFF7B733"/>
      </bottom>
    </border>
    <border>
      <left style="medium">
        <color rgb="FFF7B733"/>
      </left>
      <top style="dotted">
        <color rgb="FFDFDCE3"/>
      </top>
    </border>
  </borders>
  <cellStyleXfs count="1">
    <xf borderId="0" fillId="0" fontId="0" numFmtId="0" applyAlignment="1" applyFont="1"/>
  </cellStyleXfs>
  <cellXfs count="321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4" fillId="2" fontId="2" numFmtId="0" xfId="0" applyAlignment="1" applyBorder="1" applyFill="1" applyFont="1">
      <alignment vertical="bottom"/>
    </xf>
    <xf borderId="0" fillId="3" fontId="3" numFmtId="0" xfId="0" applyAlignment="1" applyFill="1" applyFont="1">
      <alignment horizontal="center" vertical="bottom"/>
    </xf>
    <xf borderId="5" fillId="2" fontId="2" numFmtId="0" xfId="0" applyAlignment="1" applyBorder="1" applyFont="1">
      <alignment vertical="bottom"/>
    </xf>
    <xf borderId="6" fillId="0" fontId="1" numFmtId="0" xfId="0" applyAlignment="1" applyBorder="1" applyFont="1">
      <alignment horizontal="center" readingOrder="0"/>
    </xf>
    <xf borderId="7" fillId="0" fontId="4" numFmtId="0" xfId="0" applyBorder="1" applyFont="1"/>
    <xf borderId="0" fillId="0" fontId="2" numFmtId="0" xfId="0" applyAlignment="1" applyFont="1">
      <alignment vertical="bottom"/>
    </xf>
    <xf borderId="8" fillId="0" fontId="5" numFmtId="0" xfId="0" applyAlignment="1" applyBorder="1" applyFont="1">
      <alignment readingOrder="0" vertical="bottom"/>
    </xf>
    <xf borderId="8" fillId="0" fontId="5" numFmtId="0" xfId="0" applyAlignment="1" applyBorder="1" applyFont="1">
      <alignment horizontal="center" readingOrder="0" vertical="bottom"/>
    </xf>
    <xf borderId="8" fillId="0" fontId="4" numFmtId="0" xfId="0" applyBorder="1" applyFont="1"/>
    <xf borderId="6" fillId="0" fontId="6" numFmtId="0" xfId="0" applyAlignment="1" applyBorder="1" applyFont="1">
      <alignment horizontal="center" readingOrder="0"/>
    </xf>
    <xf borderId="8" fillId="0" fontId="7" numFmtId="0" xfId="0" applyAlignment="1" applyBorder="1" applyFont="1">
      <alignment horizontal="center" readingOrder="0" vertical="bottom"/>
    </xf>
    <xf borderId="8" fillId="0" fontId="8" numFmtId="0" xfId="0" applyAlignment="1" applyBorder="1" applyFont="1">
      <alignment readingOrder="0" vertical="bottom"/>
    </xf>
    <xf borderId="0" fillId="3" fontId="9" numFmtId="0" xfId="0" applyAlignment="1" applyFont="1">
      <alignment horizontal="center" shrinkToFit="0" vertical="top" wrapText="1"/>
    </xf>
    <xf borderId="8" fillId="0" fontId="8" numFmtId="0" xfId="0" applyAlignment="1" applyBorder="1" applyFont="1">
      <alignment horizontal="center" readingOrder="0" vertical="bottom"/>
    </xf>
    <xf borderId="9" fillId="0" fontId="1" numFmtId="0" xfId="0" applyBorder="1" applyFont="1"/>
    <xf borderId="10" fillId="0" fontId="1" numFmtId="0" xfId="0" applyBorder="1" applyFont="1"/>
    <xf borderId="8" fillId="0" fontId="10" numFmtId="0" xfId="0" applyAlignment="1" applyBorder="1" applyFont="1">
      <alignment horizontal="center" readingOrder="0"/>
    </xf>
    <xf borderId="11" fillId="0" fontId="1" numFmtId="0" xfId="0" applyBorder="1" applyFont="1"/>
    <xf borderId="8" fillId="0" fontId="10" numFmtId="0" xfId="0" applyAlignment="1" applyBorder="1" applyFont="1">
      <alignment horizontal="center"/>
    </xf>
    <xf borderId="0" fillId="3" fontId="11" numFmtId="0" xfId="0" applyAlignment="1" applyFont="1">
      <alignment vertical="top"/>
    </xf>
    <xf borderId="12" fillId="0" fontId="1" numFmtId="0" xfId="0" applyAlignment="1" applyBorder="1" applyFont="1">
      <alignment readingOrder="0"/>
    </xf>
    <xf borderId="0" fillId="0" fontId="3" numFmtId="0" xfId="0" applyAlignment="1" applyFont="1">
      <alignment horizontal="center" vertical="bottom"/>
    </xf>
    <xf borderId="13" fillId="4" fontId="12" numFmtId="0" xfId="0" applyAlignment="1" applyBorder="1" applyFill="1" applyFont="1">
      <alignment vertical="bottom"/>
    </xf>
    <xf borderId="0" fillId="0" fontId="9" numFmtId="0" xfId="0" applyAlignment="1" applyFont="1">
      <alignment horizontal="center" shrinkToFit="0" vertical="top" wrapText="1"/>
    </xf>
    <xf borderId="0" fillId="0" fontId="12" numFmtId="0" xfId="0" applyAlignment="1" applyFont="1">
      <alignment vertical="bottom"/>
    </xf>
    <xf borderId="14" fillId="4" fontId="12" numFmtId="0" xfId="0" applyAlignment="1" applyBorder="1" applyFont="1">
      <alignment vertical="bottom"/>
    </xf>
    <xf borderId="0" fillId="3" fontId="13" numFmtId="0" xfId="0" applyAlignment="1" applyFont="1">
      <alignment horizontal="center" shrinkToFit="0" vertical="top" wrapText="1"/>
    </xf>
    <xf borderId="0" fillId="0" fontId="11" numFmtId="0" xfId="0" applyAlignment="1" applyFont="1">
      <alignment vertical="top"/>
    </xf>
    <xf borderId="13" fillId="5" fontId="12" numFmtId="0" xfId="0" applyAlignment="1" applyBorder="1" applyFill="1" applyFont="1">
      <alignment readingOrder="0" vertical="bottom"/>
    </xf>
    <xf borderId="0" fillId="0" fontId="13" numFmtId="0" xfId="0" applyAlignment="1" applyFont="1">
      <alignment horizontal="center" shrinkToFit="0" vertical="top" wrapText="1"/>
    </xf>
    <xf borderId="15" fillId="0" fontId="1" numFmtId="0" xfId="0" applyAlignment="1" applyBorder="1" applyFont="1">
      <alignment horizontal="center" readingOrder="0"/>
    </xf>
    <xf borderId="12" fillId="0" fontId="1" numFmtId="164" xfId="0" applyAlignment="1" applyBorder="1" applyFont="1" applyNumberFormat="1">
      <alignment readingOrder="0"/>
    </xf>
    <xf borderId="12" fillId="0" fontId="1" numFmtId="165" xfId="0" applyAlignment="1" applyBorder="1" applyFont="1" applyNumberFormat="1">
      <alignment readingOrder="0"/>
    </xf>
    <xf borderId="16" fillId="0" fontId="1" numFmtId="0" xfId="0" applyAlignment="1" applyBorder="1" applyFont="1">
      <alignment readingOrder="0"/>
    </xf>
    <xf borderId="13" fillId="5" fontId="12" numFmtId="0" xfId="0" applyAlignment="1" applyBorder="1" applyFont="1">
      <alignment vertical="bottom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4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4" numFmtId="49" xfId="0" applyAlignment="1" applyFont="1" applyNumberFormat="1">
      <alignment horizontal="center" readingOrder="0" shrinkToFit="0" vertical="center" wrapText="1"/>
    </xf>
    <xf borderId="0" fillId="0" fontId="14" numFmtId="168" xfId="0" applyAlignment="1" applyFont="1" applyNumberFormat="1">
      <alignment horizontal="center" readingOrder="0" shrinkToFit="0" vertical="center" wrapText="1"/>
    </xf>
    <xf borderId="0" fillId="0" fontId="14" numFmtId="14" xfId="0" applyAlignment="1" applyFont="1" applyNumberFormat="1">
      <alignment horizontal="center" readingOrder="0" shrinkToFit="0" vertical="center" wrapText="1"/>
    </xf>
    <xf borderId="0" fillId="0" fontId="14" numFmtId="169" xfId="0" applyAlignment="1" applyFont="1" applyNumberFormat="1">
      <alignment horizontal="center" readingOrder="0" shrinkToFit="0" vertical="center" wrapText="1"/>
    </xf>
    <xf borderId="0" fillId="0" fontId="15" numFmtId="0" xfId="0" applyAlignment="1" applyFont="1">
      <alignment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5" numFmtId="168" xfId="0" applyAlignment="1" applyFont="1" applyNumberFormat="1">
      <alignment horizontal="center" readingOrder="0" shrinkToFit="0" vertical="bottom" wrapText="0"/>
    </xf>
    <xf borderId="0" fillId="0" fontId="16" numFmtId="164" xfId="0" applyAlignment="1" applyFont="1" applyNumberFormat="1">
      <alignment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5" numFmtId="165" xfId="0" applyAlignment="1" applyFont="1" applyNumberFormat="1">
      <alignment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6" numFmtId="164" xfId="0" applyAlignment="1" applyFont="1" applyNumberFormat="1">
      <alignment readingOrder="0" shrinkToFit="0" vertical="bottom" wrapText="0"/>
    </xf>
    <xf borderId="0" fillId="0" fontId="17" numFmtId="0" xfId="0" applyFont="1"/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165" xfId="0" applyAlignment="1" applyFont="1" applyNumberFormat="1">
      <alignment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4" fillId="2" fontId="18" numFmtId="0" xfId="0" applyAlignment="1" applyBorder="1" applyFont="1">
      <alignment vertical="bottom"/>
    </xf>
    <xf borderId="4" fillId="2" fontId="2" numFmtId="0" xfId="0" applyBorder="1" applyFont="1"/>
    <xf borderId="0" fillId="0" fontId="19" numFmtId="0" xfId="0" applyAlignment="1" applyFont="1">
      <alignment horizontal="left" readingOrder="0" vertical="center"/>
    </xf>
    <xf borderId="0" fillId="0" fontId="20" numFmtId="0" xfId="0" applyAlignment="1" applyFont="1">
      <alignment vertical="center"/>
    </xf>
    <xf borderId="0" fillId="0" fontId="21" numFmtId="0" xfId="0" applyAlignment="1" applyFont="1">
      <alignment horizontal="center" readingOrder="0"/>
    </xf>
    <xf borderId="15" fillId="0" fontId="2" numFmtId="0" xfId="0" applyAlignment="1" applyBorder="1" applyFont="1">
      <alignment horizontal="right" readingOrder="0" vertical="bottom"/>
    </xf>
    <xf borderId="15" fillId="0" fontId="14" numFmtId="0" xfId="0" applyAlignment="1" applyBorder="1" applyFont="1">
      <alignment horizontal="center" readingOrder="0" vertical="center"/>
    </xf>
    <xf borderId="0" fillId="0" fontId="1" numFmtId="0" xfId="0" applyAlignment="1" applyFont="1">
      <alignment readingOrder="0"/>
    </xf>
    <xf borderId="0" fillId="0" fontId="21" numFmtId="0" xfId="0" applyAlignment="1" applyFont="1">
      <alignment readingOrder="0"/>
    </xf>
    <xf borderId="0" fillId="0" fontId="21" numFmtId="14" xfId="0" applyFont="1" applyNumberFormat="1"/>
    <xf borderId="0" fillId="2" fontId="22" numFmtId="0" xfId="0" applyAlignment="1" applyFont="1">
      <alignment horizontal="center" readingOrder="0" vertical="center"/>
    </xf>
    <xf borderId="0" fillId="0" fontId="23" numFmtId="0" xfId="0" applyAlignment="1" applyFont="1">
      <alignment horizontal="center" readingOrder="0" vertical="top"/>
    </xf>
    <xf borderId="15" fillId="0" fontId="2" numFmtId="0" xfId="0" applyAlignment="1" applyBorder="1" applyFont="1">
      <alignment horizontal="right" readingOrder="0" vertical="center"/>
    </xf>
    <xf borderId="15" fillId="0" fontId="1" numFmtId="0" xfId="0" applyAlignment="1" applyBorder="1" applyFont="1">
      <alignment horizontal="center" readingOrder="0" vertical="center"/>
    </xf>
    <xf borderId="0" fillId="0" fontId="24" numFmtId="0" xfId="0" applyAlignment="1" applyFont="1">
      <alignment horizontal="center" readingOrder="0" vertical="top"/>
    </xf>
    <xf borderId="0" fillId="0" fontId="21" numFmtId="0" xfId="0" applyFont="1"/>
    <xf borderId="0" fillId="2" fontId="25" numFmtId="164" xfId="0" applyAlignment="1" applyFont="1" applyNumberFormat="1">
      <alignment horizontal="center" vertical="top"/>
    </xf>
    <xf borderId="15" fillId="0" fontId="2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right" readingOrder="0"/>
    </xf>
    <xf borderId="15" fillId="0" fontId="1" numFmtId="0" xfId="0" applyAlignment="1" applyBorder="1" applyFont="1">
      <alignment horizontal="right" readingOrder="0"/>
    </xf>
    <xf borderId="0" fillId="2" fontId="26" numFmtId="0" xfId="0" applyAlignment="1" applyFont="1">
      <alignment readingOrder="0"/>
    </xf>
    <xf borderId="0" fillId="2" fontId="27" numFmtId="0" xfId="0" applyAlignment="1" applyFont="1">
      <alignment readingOrder="0"/>
    </xf>
    <xf borderId="0" fillId="0" fontId="27" numFmtId="0" xfId="0" applyAlignment="1" applyFont="1">
      <alignment horizontal="center" readingOrder="0"/>
    </xf>
    <xf borderId="0" fillId="0" fontId="27" numFmtId="0" xfId="0" applyAlignment="1" applyFont="1">
      <alignment readingOrder="0"/>
    </xf>
    <xf borderId="0" fillId="0" fontId="27" numFmtId="14" xfId="0" applyFont="1" applyNumberFormat="1"/>
    <xf borderId="0" fillId="3" fontId="22" numFmtId="0" xfId="0" applyAlignment="1" applyFont="1">
      <alignment horizontal="center" readingOrder="0" vertical="center"/>
    </xf>
    <xf borderId="17" fillId="0" fontId="1" numFmtId="0" xfId="0" applyBorder="1" applyFont="1"/>
    <xf borderId="0" fillId="0" fontId="27" numFmtId="0" xfId="0" applyFont="1"/>
    <xf borderId="0" fillId="3" fontId="28" numFmtId="164" xfId="0" applyAlignment="1" applyFont="1" applyNumberFormat="1">
      <alignment horizontal="center" vertical="top"/>
    </xf>
    <xf borderId="0" fillId="3" fontId="26" numFmtId="0" xfId="0" applyAlignment="1" applyFont="1">
      <alignment readingOrder="0"/>
    </xf>
    <xf borderId="0" fillId="3" fontId="29" numFmtId="0" xfId="0" applyAlignment="1" applyFont="1">
      <alignment readingOrder="0"/>
    </xf>
    <xf borderId="0" fillId="3" fontId="27" numFmtId="0" xfId="0" applyAlignment="1" applyFont="1">
      <alignment readingOrder="0"/>
    </xf>
    <xf borderId="17" fillId="0" fontId="1" numFmtId="165" xfId="0" applyBorder="1" applyFont="1" applyNumberFormat="1"/>
    <xf borderId="17" fillId="0" fontId="1" numFmtId="164" xfId="0" applyBorder="1" applyFont="1" applyNumberFormat="1"/>
    <xf borderId="0" fillId="0" fontId="1" numFmtId="165" xfId="0" applyFont="1" applyNumberFormat="1"/>
    <xf borderId="0" fillId="0" fontId="1" numFmtId="164" xfId="0" applyFont="1" applyNumberFormat="1"/>
    <xf borderId="8" fillId="0" fontId="5" numFmtId="0" xfId="0" applyAlignment="1" applyBorder="1" applyFont="1">
      <alignment vertical="bottom"/>
    </xf>
    <xf borderId="0" fillId="0" fontId="30" numFmtId="0" xfId="0" applyAlignment="1" applyFont="1">
      <alignment horizontal="center" readingOrder="0" vertical="center"/>
    </xf>
    <xf borderId="0" fillId="0" fontId="2" numFmtId="0" xfId="0" applyAlignment="1" applyFont="1">
      <alignment readingOrder="0" vertical="bottom"/>
    </xf>
    <xf borderId="0" fillId="0" fontId="2" numFmtId="0" xfId="0" applyFont="1"/>
    <xf borderId="15" fillId="0" fontId="2" numFmtId="0" xfId="0" applyAlignment="1" applyBorder="1" applyFont="1">
      <alignment vertical="bottom"/>
    </xf>
    <xf borderId="15" fillId="0" fontId="1" numFmtId="0" xfId="0" applyAlignment="1" applyBorder="1" applyFont="1">
      <alignment readingOrder="0"/>
    </xf>
    <xf borderId="8" fillId="0" fontId="2" numFmtId="0" xfId="0" applyBorder="1" applyFont="1"/>
    <xf borderId="8" fillId="0" fontId="2" numFmtId="170" xfId="0" applyAlignment="1" applyBorder="1" applyFont="1" applyNumberFormat="1">
      <alignment horizontal="center"/>
    </xf>
    <xf borderId="18" fillId="0" fontId="31" numFmtId="0" xfId="0" applyAlignment="1" applyBorder="1" applyFont="1">
      <alignment horizontal="center" readingOrder="0"/>
    </xf>
    <xf borderId="19" fillId="0" fontId="2" numFmtId="0" xfId="0" applyBorder="1" applyFont="1"/>
    <xf borderId="19" fillId="0" fontId="2" numFmtId="169" xfId="0" applyAlignment="1" applyBorder="1" applyFont="1" applyNumberFormat="1">
      <alignment vertical="bottom"/>
    </xf>
    <xf borderId="19" fillId="0" fontId="2" numFmtId="171" xfId="0" applyAlignment="1" applyBorder="1" applyFont="1" applyNumberFormat="1">
      <alignment vertical="bottom"/>
    </xf>
    <xf borderId="20" fillId="0" fontId="2" numFmtId="170" xfId="0" applyBorder="1" applyFont="1" applyNumberFormat="1"/>
    <xf borderId="4" fillId="6" fontId="31" numFmtId="0" xfId="0" applyBorder="1" applyFill="1" applyFont="1"/>
    <xf borderId="4" fillId="6" fontId="32" numFmtId="171" xfId="0" applyAlignment="1" applyBorder="1" applyFont="1" applyNumberFormat="1">
      <alignment horizontal="center" readingOrder="0"/>
    </xf>
    <xf borderId="8" fillId="0" fontId="2" numFmtId="0" xfId="0" applyAlignment="1" applyBorder="1" applyFont="1">
      <alignment vertical="bottom"/>
    </xf>
    <xf borderId="0" fillId="0" fontId="14" numFmtId="0" xfId="0" applyAlignment="1" applyFont="1">
      <alignment horizontal="center" readingOrder="0" vertical="center"/>
    </xf>
    <xf borderId="0" fillId="0" fontId="2" numFmtId="0" xfId="0" applyAlignment="1" applyFont="1">
      <alignment horizontal="right" readingOrder="0" vertical="center"/>
    </xf>
    <xf borderId="0" fillId="0" fontId="2" numFmtId="0" xfId="0" applyAlignment="1" applyFont="1">
      <alignment horizontal="center" readingOrder="0" vertical="center"/>
    </xf>
    <xf borderId="8" fillId="0" fontId="31" numFmtId="170" xfId="0" applyAlignment="1" applyBorder="1" applyFont="1" applyNumberFormat="1">
      <alignment horizontal="center"/>
    </xf>
    <xf borderId="18" fillId="0" fontId="31" numFmtId="170" xfId="0" applyAlignment="1" applyBorder="1" applyFont="1" applyNumberFormat="1">
      <alignment horizontal="center"/>
    </xf>
    <xf borderId="0" fillId="0" fontId="2" numFmtId="170" xfId="0" applyFont="1" applyNumberFormat="1"/>
    <xf borderId="21" fillId="2" fontId="33" numFmtId="0" xfId="0" applyAlignment="1" applyBorder="1" applyFont="1">
      <alignment vertical="bottom"/>
    </xf>
    <xf borderId="21" fillId="2" fontId="2" numFmtId="171" xfId="0" applyAlignment="1" applyBorder="1" applyFont="1" applyNumberFormat="1">
      <alignment vertical="bottom"/>
    </xf>
    <xf borderId="22" fillId="2" fontId="2" numFmtId="171" xfId="0" applyAlignment="1" applyBorder="1" applyFont="1" applyNumberFormat="1">
      <alignment vertical="bottom"/>
    </xf>
    <xf borderId="23" fillId="0" fontId="31" numFmtId="0" xfId="0" applyAlignment="1" applyBorder="1" applyFont="1">
      <alignment vertical="bottom"/>
    </xf>
    <xf borderId="23" fillId="0" fontId="34" numFmtId="171" xfId="0" applyAlignment="1" applyBorder="1" applyFont="1" applyNumberFormat="1">
      <alignment horizontal="center" vertical="bottom"/>
    </xf>
    <xf borderId="8" fillId="0" fontId="35" numFmtId="0" xfId="0" applyAlignment="1" applyBorder="1" applyFont="1">
      <alignment horizontal="center" vertical="bottom"/>
    </xf>
    <xf borderId="23" fillId="0" fontId="34" numFmtId="10" xfId="0" applyAlignment="1" applyBorder="1" applyFont="1" applyNumberFormat="1">
      <alignment horizontal="center" vertical="bottom"/>
    </xf>
    <xf borderId="0" fillId="2" fontId="29" numFmtId="0" xfId="0" applyAlignment="1" applyFont="1">
      <alignment horizontal="left" readingOrder="0"/>
    </xf>
    <xf borderId="0" fillId="2" fontId="36" numFmtId="10" xfId="0" applyAlignment="1" applyFont="1" applyNumberFormat="1">
      <alignment horizontal="center" vertical="center"/>
    </xf>
    <xf borderId="0" fillId="0" fontId="17" numFmtId="0" xfId="0" applyAlignment="1" applyFont="1">
      <alignment horizontal="center" readingOrder="0"/>
    </xf>
    <xf borderId="15" fillId="0" fontId="1" numFmtId="167" xfId="0" applyAlignment="1" applyBorder="1" applyFont="1" applyNumberFormat="1">
      <alignment horizontal="center" readingOrder="0" vertical="center"/>
    </xf>
    <xf borderId="0" fillId="2" fontId="22" numFmtId="171" xfId="0" applyAlignment="1" applyFont="1" applyNumberFormat="1">
      <alignment horizontal="center" vertical="center"/>
    </xf>
    <xf borderId="15" fillId="0" fontId="29" numFmtId="167" xfId="0" applyAlignment="1" applyBorder="1" applyFont="1" applyNumberFormat="1">
      <alignment horizontal="center" readingOrder="0" vertical="center"/>
    </xf>
    <xf borderId="24" fillId="6" fontId="31" numFmtId="0" xfId="0" applyAlignment="1" applyBorder="1" applyFont="1">
      <alignment shrinkToFit="0" vertical="bottom" wrapText="1"/>
    </xf>
    <xf borderId="25" fillId="6" fontId="34" numFmtId="171" xfId="0" applyAlignment="1" applyBorder="1" applyFont="1" applyNumberFormat="1">
      <alignment horizontal="center" vertical="bottom"/>
    </xf>
    <xf borderId="25" fillId="6" fontId="34" numFmtId="10" xfId="0" applyAlignment="1" applyBorder="1" applyFont="1" applyNumberFormat="1">
      <alignment horizontal="center" vertical="bottom"/>
    </xf>
    <xf borderId="0" fillId="0" fontId="2" numFmtId="171" xfId="0" applyAlignment="1" applyFont="1" applyNumberFormat="1">
      <alignment vertical="bottom"/>
    </xf>
    <xf borderId="0" fillId="0" fontId="34" numFmtId="171" xfId="0" applyAlignment="1" applyFont="1" applyNumberFormat="1">
      <alignment horizontal="center" vertical="bottom"/>
    </xf>
    <xf borderId="0" fillId="0" fontId="34" numFmtId="171" xfId="0" applyAlignment="1" applyFont="1" applyNumberFormat="1">
      <alignment horizontal="center" vertical="center"/>
    </xf>
    <xf borderId="0" fillId="3" fontId="29" numFmtId="0" xfId="0" applyAlignment="1" applyFont="1">
      <alignment horizontal="center" readingOrder="0"/>
    </xf>
    <xf borderId="0" fillId="3" fontId="36" numFmtId="10" xfId="0" applyAlignment="1" applyFont="1" applyNumberFormat="1">
      <alignment horizontal="center" vertical="center"/>
    </xf>
    <xf borderId="0" fillId="0" fontId="37" numFmtId="0" xfId="0" applyAlignment="1" applyFont="1">
      <alignment horizontal="center" vertical="bottom"/>
    </xf>
    <xf borderId="0" fillId="7" fontId="29" numFmtId="0" xfId="0" applyAlignment="1" applyFill="1" applyFont="1">
      <alignment horizontal="center" readingOrder="0" vertical="center"/>
    </xf>
    <xf borderId="0" fillId="0" fontId="38" numFmtId="0" xfId="0" applyFont="1"/>
    <xf borderId="0" fillId="2" fontId="37" numFmtId="0" xfId="0" applyAlignment="1" applyFont="1">
      <alignment horizontal="center" vertical="bottom"/>
    </xf>
    <xf borderId="0" fillId="2" fontId="38" numFmtId="0" xfId="0" applyFont="1"/>
    <xf borderId="0" fillId="3" fontId="22" numFmtId="171" xfId="0" applyAlignment="1" applyFont="1" applyNumberFormat="1">
      <alignment horizontal="center" vertical="center"/>
    </xf>
    <xf borderId="0" fillId="7" fontId="39" numFmtId="164" xfId="0" applyAlignment="1" applyFont="1" applyNumberFormat="1">
      <alignment horizontal="center" vertical="center"/>
    </xf>
    <xf borderId="0" fillId="2" fontId="40" numFmtId="0" xfId="0" applyAlignment="1" applyFont="1">
      <alignment horizontal="left" readingOrder="0" vertical="center"/>
    </xf>
    <xf borderId="0" fillId="2" fontId="41" numFmtId="0" xfId="0" applyAlignment="1" applyFont="1">
      <alignment horizontal="center" readingOrder="0" vertical="top"/>
    </xf>
    <xf borderId="0" fillId="0" fontId="10" numFmtId="171" xfId="0" applyAlignment="1" applyFont="1" applyNumberFormat="1">
      <alignment vertical="bottom"/>
    </xf>
    <xf borderId="0" fillId="2" fontId="42" numFmtId="164" xfId="0" applyAlignment="1" applyFont="1" applyNumberFormat="1">
      <alignment horizontal="left" vertical="center"/>
    </xf>
    <xf borderId="0" fillId="2" fontId="42" numFmtId="0" xfId="0" applyAlignment="1" applyFont="1">
      <alignment horizontal="center" vertical="center"/>
    </xf>
    <xf borderId="0" fillId="8" fontId="1" numFmtId="0" xfId="0" applyFill="1" applyFont="1"/>
    <xf borderId="0" fillId="8" fontId="38" numFmtId="0" xfId="0" applyAlignment="1" applyFont="1">
      <alignment horizontal="left" readingOrder="0" shrinkToFit="0" vertical="center" wrapText="1"/>
    </xf>
    <xf borderId="0" fillId="8" fontId="29" numFmtId="0" xfId="0" applyFont="1"/>
    <xf borderId="0" fillId="9" fontId="1" numFmtId="0" xfId="0" applyFill="1" applyFont="1"/>
    <xf borderId="0" fillId="8" fontId="39" numFmtId="164" xfId="0" applyAlignment="1" applyFont="1" applyNumberFormat="1">
      <alignment horizontal="center" readingOrder="0" vertical="center"/>
    </xf>
    <xf borderId="0" fillId="0" fontId="10" numFmtId="0" xfId="0" applyAlignment="1" applyFont="1">
      <alignment readingOrder="0" vertical="bottom"/>
    </xf>
    <xf borderId="0" fillId="8" fontId="22" numFmtId="164" xfId="0" applyAlignment="1" applyFont="1" applyNumberFormat="1">
      <alignment horizontal="left" readingOrder="0" shrinkToFit="0" vertical="center" wrapText="1"/>
    </xf>
    <xf borderId="0" fillId="0" fontId="10" numFmtId="10" xfId="0" applyAlignment="1" applyFont="1" applyNumberFormat="1">
      <alignment horizontal="right" vertical="bottom"/>
    </xf>
    <xf borderId="0" fillId="8" fontId="38" numFmtId="0" xfId="0" applyAlignment="1" applyFont="1">
      <alignment horizontal="center" readingOrder="0" vertical="bottom"/>
    </xf>
    <xf borderId="0" fillId="8" fontId="26" numFmtId="0" xfId="0" applyAlignment="1" applyFont="1">
      <alignment horizontal="left" readingOrder="0" vertical="bottom"/>
    </xf>
    <xf borderId="0" fillId="10" fontId="1" numFmtId="0" xfId="0" applyFill="1" applyFont="1"/>
    <xf borderId="0" fillId="10" fontId="38" numFmtId="0" xfId="0" applyAlignment="1" applyFont="1">
      <alignment horizontal="left" readingOrder="0" shrinkToFit="0" vertical="center" wrapText="1"/>
    </xf>
    <xf borderId="0" fillId="10" fontId="29" numFmtId="0" xfId="0" applyFont="1"/>
    <xf borderId="0" fillId="0" fontId="10" numFmtId="171" xfId="0" applyAlignment="1" applyFont="1" applyNumberFormat="1">
      <alignment readingOrder="0" vertical="bottom"/>
    </xf>
    <xf borderId="26" fillId="0" fontId="34" numFmtId="171" xfId="0" applyAlignment="1" applyBorder="1" applyFont="1" applyNumberFormat="1">
      <alignment horizontal="center" vertical="bottom"/>
    </xf>
    <xf borderId="0" fillId="10" fontId="22" numFmtId="164" xfId="0" applyAlignment="1" applyFont="1" applyNumberFormat="1">
      <alignment horizontal="left" readingOrder="0" shrinkToFit="0" vertical="center" wrapText="1"/>
    </xf>
    <xf borderId="0" fillId="9" fontId="43" numFmtId="0" xfId="0" applyAlignment="1" applyFont="1">
      <alignment horizontal="center" readingOrder="0"/>
    </xf>
    <xf borderId="0" fillId="9" fontId="15" numFmtId="0" xfId="0" applyAlignment="1" applyFont="1">
      <alignment vertical="bottom"/>
    </xf>
    <xf borderId="0" fillId="10" fontId="29" numFmtId="0" xfId="0" applyAlignment="1" applyFont="1">
      <alignment horizontal="left" readingOrder="0" vertical="bottom"/>
    </xf>
    <xf borderId="0" fillId="9" fontId="44" numFmtId="171" xfId="0" applyAlignment="1" applyFont="1" applyNumberFormat="1">
      <alignment horizontal="center" shrinkToFit="0" vertical="center" wrapText="1"/>
    </xf>
    <xf borderId="0" fillId="10" fontId="26" numFmtId="0" xfId="0" applyAlignment="1" applyFont="1">
      <alignment horizontal="left" readingOrder="0" vertical="bottom"/>
    </xf>
    <xf borderId="0" fillId="0" fontId="15" numFmtId="0" xfId="0" applyAlignment="1" applyFont="1">
      <alignment vertical="bottom"/>
    </xf>
    <xf borderId="0" fillId="0" fontId="15" numFmtId="169" xfId="0" applyAlignment="1" applyFont="1" applyNumberFormat="1">
      <alignment horizontal="right" vertical="bottom"/>
    </xf>
    <xf borderId="0" fillId="0" fontId="15" numFmtId="10" xfId="0" applyAlignment="1" applyFont="1" applyNumberFormat="1">
      <alignment horizontal="right" vertical="bottom"/>
    </xf>
    <xf borderId="0" fillId="0" fontId="45" numFmtId="172" xfId="0" applyAlignment="1" applyFont="1" applyNumberFormat="1">
      <alignment horizontal="right" vertical="bottom"/>
    </xf>
    <xf borderId="0" fillId="0" fontId="45" numFmtId="10" xfId="0" applyAlignment="1" applyFont="1" applyNumberFormat="1">
      <alignment horizontal="right" vertical="bottom"/>
    </xf>
    <xf borderId="8" fillId="0" fontId="46" numFmtId="0" xfId="0" applyAlignment="1" applyBorder="1" applyFont="1">
      <alignment horizontal="center" readingOrder="0" vertical="bottom"/>
    </xf>
    <xf borderId="27" fillId="11" fontId="47" numFmtId="0" xfId="0" applyBorder="1" applyFill="1" applyFont="1"/>
    <xf borderId="27" fillId="11" fontId="48" numFmtId="0" xfId="0" applyBorder="1" applyFont="1"/>
    <xf borderId="21" fillId="6" fontId="31" numFmtId="0" xfId="0" applyBorder="1" applyFont="1"/>
    <xf borderId="28" fillId="6" fontId="34" numFmtId="171" xfId="0" applyAlignment="1" applyBorder="1" applyFont="1" applyNumberFormat="1">
      <alignment horizontal="center"/>
    </xf>
    <xf borderId="28" fillId="6" fontId="34" numFmtId="10" xfId="0" applyAlignment="1" applyBorder="1" applyFont="1" applyNumberFormat="1">
      <alignment horizontal="center"/>
    </xf>
    <xf borderId="8" fillId="0" fontId="35" numFmtId="0" xfId="0" applyAlignment="1" applyBorder="1" applyFont="1">
      <alignment horizontal="center" readingOrder="0" vertical="bottom"/>
    </xf>
    <xf borderId="29" fillId="0" fontId="17" numFmtId="0" xfId="0" applyAlignment="1" applyBorder="1" applyFont="1">
      <alignment horizontal="center" readingOrder="0"/>
    </xf>
    <xf borderId="29" fillId="0" fontId="17" numFmtId="164" xfId="0" applyAlignment="1" applyBorder="1" applyFont="1" applyNumberFormat="1">
      <alignment horizontal="center" readingOrder="0"/>
    </xf>
    <xf borderId="29" fillId="0" fontId="17" numFmtId="0" xfId="0" applyAlignment="1" applyBorder="1" applyFont="1">
      <alignment horizontal="left" readingOrder="0"/>
    </xf>
    <xf borderId="27" fillId="11" fontId="47" numFmtId="164" xfId="0" applyBorder="1" applyFont="1" applyNumberFormat="1"/>
    <xf borderId="30" fillId="11" fontId="47" numFmtId="0" xfId="0" applyBorder="1" applyFont="1"/>
    <xf borderId="30" fillId="11" fontId="48" numFmtId="0" xfId="0" applyBorder="1" applyFont="1"/>
    <xf borderId="31" fillId="0" fontId="2" numFmtId="171" xfId="0" applyBorder="1" applyFont="1" applyNumberFormat="1"/>
    <xf borderId="32" fillId="0" fontId="17" numFmtId="0" xfId="0" applyAlignment="1" applyBorder="1" applyFont="1">
      <alignment horizontal="center" readingOrder="0"/>
    </xf>
    <xf borderId="4" fillId="2" fontId="33" numFmtId="0" xfId="0" applyAlignment="1" applyBorder="1" applyFont="1">
      <alignment vertical="bottom"/>
    </xf>
    <xf borderId="32" fillId="0" fontId="17" numFmtId="164" xfId="0" applyAlignment="1" applyBorder="1" applyFont="1" applyNumberFormat="1">
      <alignment horizontal="center" readingOrder="0"/>
    </xf>
    <xf borderId="0" fillId="0" fontId="34" numFmtId="171" xfId="0" applyAlignment="1" applyFont="1" applyNumberFormat="1">
      <alignment horizontal="center"/>
    </xf>
    <xf borderId="32" fillId="0" fontId="17" numFmtId="0" xfId="0" applyAlignment="1" applyBorder="1" applyFont="1">
      <alignment horizontal="left" readingOrder="0"/>
    </xf>
    <xf borderId="4" fillId="2" fontId="49" numFmtId="171" xfId="0" applyAlignment="1" applyBorder="1" applyFont="1" applyNumberFormat="1">
      <alignment horizontal="center" vertical="bottom"/>
    </xf>
    <xf borderId="4" fillId="2" fontId="50" numFmtId="171" xfId="0" applyAlignment="1" applyBorder="1" applyFont="1" applyNumberFormat="1">
      <alignment horizontal="center" vertical="bottom"/>
    </xf>
    <xf borderId="31" fillId="2" fontId="33" numFmtId="171" xfId="0" applyAlignment="1" applyBorder="1" applyFont="1" applyNumberFormat="1">
      <alignment horizontal="center"/>
    </xf>
    <xf borderId="33" fillId="0" fontId="51" numFmtId="0" xfId="0" applyAlignment="1" applyBorder="1" applyFont="1">
      <alignment vertical="bottom"/>
    </xf>
    <xf borderId="0" fillId="0" fontId="2" numFmtId="171" xfId="0" applyFont="1" applyNumberFormat="1"/>
    <xf borderId="0" fillId="0" fontId="2" numFmtId="10" xfId="0" applyAlignment="1" applyFont="1" applyNumberFormat="1">
      <alignment vertical="bottom"/>
    </xf>
    <xf borderId="33" fillId="0" fontId="52" numFmtId="171" xfId="0" applyAlignment="1" applyBorder="1" applyFont="1" applyNumberFormat="1">
      <alignment horizontal="center" vertical="bottom"/>
    </xf>
    <xf borderId="32" fillId="0" fontId="1" numFmtId="0" xfId="0" applyBorder="1" applyFont="1"/>
    <xf borderId="32" fillId="0" fontId="17" numFmtId="0" xfId="0" applyBorder="1" applyFont="1"/>
    <xf borderId="23" fillId="0" fontId="15" numFmtId="169" xfId="0" applyAlignment="1" applyBorder="1" applyFont="1" applyNumberFormat="1">
      <alignment horizontal="right" vertical="bottom"/>
    </xf>
    <xf borderId="23" fillId="0" fontId="15" numFmtId="10" xfId="0" applyAlignment="1" applyBorder="1" applyFont="1" applyNumberFormat="1">
      <alignment horizontal="right" vertical="bottom"/>
    </xf>
    <xf borderId="24" fillId="6" fontId="34" numFmtId="171" xfId="0" applyAlignment="1" applyBorder="1" applyFont="1" applyNumberFormat="1">
      <alignment horizontal="center" vertical="bottom"/>
    </xf>
    <xf borderId="34" fillId="6" fontId="34" numFmtId="171" xfId="0" applyAlignment="1" applyBorder="1" applyFont="1" applyNumberFormat="1">
      <alignment horizontal="center" vertical="bottom"/>
    </xf>
    <xf borderId="35" fillId="0" fontId="51" numFmtId="171" xfId="0" applyAlignment="1" applyBorder="1" applyFont="1" applyNumberFormat="1">
      <alignment horizontal="center"/>
    </xf>
    <xf borderId="0" fillId="2" fontId="38" numFmtId="0" xfId="0" applyAlignment="1" applyFont="1">
      <alignment horizontal="center" vertical="top"/>
    </xf>
    <xf borderId="0" fillId="0" fontId="38" numFmtId="0" xfId="0" applyAlignment="1" applyFont="1">
      <alignment horizontal="center" readingOrder="0" shrinkToFit="0" vertical="center" wrapText="1"/>
    </xf>
    <xf borderId="0" fillId="2" fontId="40" numFmtId="0" xfId="0" applyAlignment="1" applyFont="1">
      <alignment horizontal="center" readingOrder="0"/>
    </xf>
    <xf borderId="0" fillId="2" fontId="53" numFmtId="0" xfId="0" applyAlignment="1" applyFont="1">
      <alignment horizontal="center" vertical="bottom"/>
    </xf>
    <xf borderId="0" fillId="2" fontId="54" numFmtId="164" xfId="0" applyAlignment="1" applyFont="1" applyNumberFormat="1">
      <alignment horizontal="center" readingOrder="0" vertical="center"/>
    </xf>
    <xf borderId="0" fillId="0" fontId="29" numFmtId="0" xfId="0" applyAlignment="1" applyFont="1">
      <alignment shrinkToFit="0" vertical="center" wrapText="1"/>
    </xf>
    <xf borderId="0" fillId="0" fontId="29" numFmtId="0" xfId="0" applyFont="1"/>
    <xf borderId="0" fillId="0" fontId="38" numFmtId="0" xfId="0" applyAlignment="1" applyFont="1">
      <alignment horizontal="left" readingOrder="0" shrinkToFit="0" vertical="center" wrapText="1"/>
    </xf>
    <xf borderId="0" fillId="0" fontId="39" numFmtId="164" xfId="0" applyAlignment="1" applyFont="1" applyNumberFormat="1">
      <alignment horizontal="center" readingOrder="0" vertical="center"/>
    </xf>
    <xf borderId="0" fillId="0" fontId="22" numFmtId="164" xfId="0" applyAlignment="1" applyFont="1" applyNumberFormat="1">
      <alignment horizontal="left" readingOrder="0" shrinkToFit="0" vertical="center" wrapText="1"/>
    </xf>
    <xf borderId="0" fillId="8" fontId="55" numFmtId="0" xfId="0" applyAlignment="1" applyFont="1">
      <alignment horizontal="left" readingOrder="0" vertical="bottom"/>
    </xf>
    <xf borderId="0" fillId="0" fontId="38" numFmtId="0" xfId="0" applyAlignment="1" applyFont="1">
      <alignment horizontal="center" readingOrder="0" vertical="bottom"/>
    </xf>
    <xf borderId="0" fillId="10" fontId="55" numFmtId="0" xfId="0" applyAlignment="1" applyFont="1">
      <alignment horizontal="left" readingOrder="0" vertical="bottom"/>
    </xf>
    <xf borderId="0" fillId="0" fontId="35" numFmtId="0" xfId="0" applyAlignment="1" applyFont="1">
      <alignment horizontal="center" vertical="bottom"/>
    </xf>
    <xf borderId="36" fillId="0" fontId="31" numFmtId="0" xfId="0" applyAlignment="1" applyBorder="1" applyFont="1">
      <alignment vertical="bottom"/>
    </xf>
    <xf borderId="0" fillId="0" fontId="34" numFmtId="10" xfId="0" applyAlignment="1" applyFont="1" applyNumberFormat="1">
      <alignment horizontal="center" vertical="bottom"/>
    </xf>
    <xf borderId="37" fillId="0" fontId="31" numFmtId="0" xfId="0" applyAlignment="1" applyBorder="1" applyFont="1">
      <alignment vertical="bottom"/>
    </xf>
    <xf borderId="0" fillId="0" fontId="31" numFmtId="0" xfId="0" applyAlignment="1" applyFont="1">
      <alignment shrinkToFit="0" vertical="bottom" wrapText="1"/>
    </xf>
    <xf borderId="0" fillId="0" fontId="31" numFmtId="0" xfId="0" applyAlignment="1" applyFont="1">
      <alignment vertical="bottom"/>
    </xf>
    <xf borderId="0" fillId="0" fontId="31" numFmtId="0" xfId="0" applyFont="1"/>
    <xf borderId="0" fillId="0" fontId="34" numFmtId="10" xfId="0" applyAlignment="1" applyFont="1" applyNumberFormat="1">
      <alignment horizontal="center"/>
    </xf>
    <xf borderId="36" fillId="0" fontId="56" numFmtId="0" xfId="0" applyAlignment="1" applyBorder="1" applyFont="1">
      <alignment vertical="bottom"/>
    </xf>
    <xf borderId="36" fillId="0" fontId="4" numFmtId="0" xfId="0" applyBorder="1" applyFont="1"/>
    <xf borderId="36" fillId="0" fontId="57" numFmtId="171" xfId="0" applyAlignment="1" applyBorder="1" applyFont="1" applyNumberFormat="1">
      <alignment horizontal="center" vertical="bottom"/>
    </xf>
    <xf borderId="23" fillId="0" fontId="56" numFmtId="0" xfId="0" applyAlignment="1" applyBorder="1" applyFont="1">
      <alignment vertical="bottom"/>
    </xf>
    <xf borderId="23" fillId="0" fontId="4" numFmtId="0" xfId="0" applyBorder="1" applyFont="1"/>
    <xf borderId="37" fillId="0" fontId="57" numFmtId="171" xfId="0" applyAlignment="1" applyBorder="1" applyFont="1" applyNumberFormat="1">
      <alignment horizontal="center" vertical="bottom"/>
    </xf>
    <xf borderId="37" fillId="0" fontId="4" numFmtId="0" xfId="0" applyBorder="1" applyFont="1"/>
    <xf borderId="38" fillId="6" fontId="56" numFmtId="0" xfId="0" applyAlignment="1" applyBorder="1" applyFont="1">
      <alignment shrinkToFit="0" vertical="bottom" wrapText="1"/>
    </xf>
    <xf borderId="39" fillId="0" fontId="4" numFmtId="0" xfId="0" applyBorder="1" applyFont="1"/>
    <xf borderId="25" fillId="6" fontId="57" numFmtId="171" xfId="0" applyAlignment="1" applyBorder="1" applyFont="1" applyNumberFormat="1">
      <alignment horizontal="center" vertical="bottom"/>
    </xf>
    <xf borderId="40" fillId="0" fontId="4" numFmtId="0" xfId="0" applyBorder="1" applyFont="1"/>
    <xf borderId="41" fillId="6" fontId="56" numFmtId="0" xfId="0" applyAlignment="1" applyBorder="1" applyFont="1">
      <alignment shrinkToFit="0" vertical="bottom" wrapText="1"/>
    </xf>
    <xf borderId="42" fillId="0" fontId="4" numFmtId="0" xfId="0" applyBorder="1" applyFont="1"/>
    <xf borderId="38" fillId="6" fontId="57" numFmtId="171" xfId="0" applyAlignment="1" applyBorder="1" applyFont="1" applyNumberFormat="1">
      <alignment horizontal="center" vertical="bottom"/>
    </xf>
    <xf borderId="15" fillId="0" fontId="4" numFmtId="0" xfId="0" applyBorder="1" applyFont="1"/>
    <xf borderId="23" fillId="0" fontId="57" numFmtId="171" xfId="0" applyAlignment="1" applyBorder="1" applyFont="1" applyNumberFormat="1">
      <alignment horizontal="center" vertical="bottom"/>
    </xf>
    <xf borderId="43" fillId="6" fontId="58" numFmtId="0" xfId="0" applyAlignment="1" applyBorder="1" applyFont="1">
      <alignment shrinkToFit="0" vertical="bottom" wrapText="1"/>
    </xf>
    <xf borderId="41" fillId="6" fontId="57" numFmtId="171" xfId="0" applyAlignment="1" applyBorder="1" applyFont="1" applyNumberFormat="1">
      <alignment horizontal="center" vertical="bottom"/>
    </xf>
    <xf borderId="30" fillId="12" fontId="47" numFmtId="0" xfId="0" applyBorder="1" applyFill="1" applyFont="1"/>
    <xf borderId="30" fillId="12" fontId="48" numFmtId="0" xfId="0" applyBorder="1" applyFont="1"/>
    <xf borderId="28" fillId="6" fontId="56" numFmtId="0" xfId="0" applyBorder="1" applyFont="1"/>
    <xf borderId="44" fillId="0" fontId="4" numFmtId="0" xfId="0" applyBorder="1" applyFont="1"/>
    <xf borderId="28" fillId="6" fontId="57" numFmtId="171" xfId="0" applyAlignment="1" applyBorder="1" applyFont="1" applyNumberFormat="1">
      <alignment horizontal="center"/>
    </xf>
    <xf borderId="27" fillId="11" fontId="59" numFmtId="0" xfId="0" applyBorder="1" applyFont="1"/>
    <xf borderId="27" fillId="11" fontId="59" numFmtId="164" xfId="0" applyBorder="1" applyFont="1" applyNumberFormat="1"/>
    <xf borderId="27" fillId="0" fontId="4" numFmtId="0" xfId="0" applyBorder="1" applyFont="1"/>
    <xf borderId="30" fillId="11" fontId="59" numFmtId="0" xfId="0" applyBorder="1" applyFont="1"/>
    <xf borderId="4" fillId="3" fontId="49" numFmtId="171" xfId="0" applyAlignment="1" applyBorder="1" applyFont="1" applyNumberFormat="1">
      <alignment vertical="bottom"/>
    </xf>
    <xf borderId="4" fillId="3" fontId="49" numFmtId="171" xfId="0" applyAlignment="1" applyBorder="1" applyFont="1" applyNumberFormat="1">
      <alignment horizontal="center" vertical="bottom"/>
    </xf>
    <xf borderId="31" fillId="3" fontId="33" numFmtId="171" xfId="0" applyAlignment="1" applyBorder="1" applyFont="1" applyNumberFormat="1">
      <alignment horizontal="center"/>
    </xf>
    <xf borderId="8" fillId="0" fontId="8" numFmtId="0" xfId="0" applyAlignment="1" applyBorder="1" applyFont="1">
      <alignment horizontal="center" vertical="bottom"/>
    </xf>
    <xf borderId="35" fillId="0" fontId="31" numFmtId="171" xfId="0" applyAlignment="1" applyBorder="1" applyFont="1" applyNumberFormat="1">
      <alignment horizontal="center"/>
    </xf>
    <xf borderId="37" fillId="0" fontId="56" numFmtId="0" xfId="0" applyAlignment="1" applyBorder="1" applyFont="1">
      <alignment vertical="bottom"/>
    </xf>
    <xf borderId="30" fillId="12" fontId="59" numFmtId="0" xfId="0" applyBorder="1" applyFont="1"/>
    <xf borderId="25" fillId="6" fontId="56" numFmtId="0" xfId="0" applyAlignment="1" applyBorder="1" applyFont="1">
      <alignment shrinkToFit="0" vertical="bottom" wrapText="1"/>
    </xf>
    <xf borderId="45" fillId="0" fontId="4" numFmtId="0" xfId="0" applyBorder="1" applyFont="1"/>
    <xf borderId="0" fillId="0" fontId="1" numFmtId="0" xfId="0" applyFont="1"/>
    <xf borderId="0" fillId="0" fontId="2" numFmtId="169" xfId="0" applyAlignment="1" applyFont="1" applyNumberFormat="1">
      <alignment readingOrder="0" vertical="bottom"/>
    </xf>
    <xf borderId="23" fillId="0" fontId="15" numFmtId="14" xfId="0" applyAlignment="1" applyBorder="1" applyFont="1" applyNumberFormat="1">
      <alignment vertical="bottom"/>
    </xf>
    <xf borderId="23" fillId="0" fontId="15" numFmtId="3" xfId="0" applyAlignment="1" applyBorder="1" applyFont="1" applyNumberFormat="1">
      <alignment horizontal="right" vertical="bottom"/>
    </xf>
    <xf borderId="23" fillId="0" fontId="15" numFmtId="164" xfId="0" applyAlignment="1" applyBorder="1" applyFont="1" applyNumberFormat="1">
      <alignment horizontal="right" vertical="bottom"/>
    </xf>
    <xf borderId="0" fillId="0" fontId="1" numFmtId="14" xfId="0" applyFont="1" applyNumberFormat="1"/>
    <xf borderId="46" fillId="6" fontId="58" numFmtId="0" xfId="0" applyAlignment="1" applyBorder="1" applyFont="1">
      <alignment shrinkToFit="0" vertical="bottom" wrapText="1"/>
    </xf>
    <xf borderId="47" fillId="0" fontId="1" numFmtId="0" xfId="0" applyAlignment="1" applyBorder="1" applyFont="1">
      <alignment readingOrder="0"/>
    </xf>
    <xf borderId="48" fillId="0" fontId="1" numFmtId="0" xfId="0" applyBorder="1" applyFont="1"/>
    <xf borderId="49" fillId="0" fontId="1" numFmtId="0" xfId="0" applyAlignment="1" applyBorder="1" applyFont="1">
      <alignment readingOrder="0"/>
    </xf>
    <xf borderId="50" fillId="0" fontId="1" numFmtId="0" xfId="0" applyBorder="1" applyFont="1"/>
    <xf borderId="12" fillId="0" fontId="60" numFmtId="0" xfId="0" applyAlignment="1" applyBorder="1" applyFont="1">
      <alignment readingOrder="0"/>
    </xf>
    <xf borderId="51" fillId="0" fontId="1" numFmtId="0" xfId="0" applyAlignment="1" applyBorder="1" applyFont="1">
      <alignment readingOrder="0"/>
    </xf>
    <xf borderId="52" fillId="0" fontId="1" numFmtId="0" xfId="0" applyBorder="1" applyFont="1"/>
    <xf borderId="16" fillId="0" fontId="60" numFmtId="0" xfId="0" applyAlignment="1" applyBorder="1" applyFont="1">
      <alignment readingOrder="0"/>
    </xf>
    <xf borderId="16" fillId="0" fontId="61" numFmtId="0" xfId="0" applyAlignment="1" applyBorder="1" applyFont="1">
      <alignment readingOrder="0"/>
    </xf>
    <xf borderId="0" fillId="0" fontId="2" numFmtId="164" xfId="0" applyAlignment="1" applyFont="1" applyNumberFormat="1">
      <alignment horizontal="right" readingOrder="0" vertical="center"/>
    </xf>
    <xf borderId="0" fillId="0" fontId="35" numFmtId="164" xfId="0" applyAlignment="1" applyFont="1" applyNumberFormat="1">
      <alignment horizontal="center" vertical="bottom"/>
    </xf>
    <xf borderId="23" fillId="0" fontId="34" numFmtId="171" xfId="0" applyAlignment="1" applyBorder="1" applyFont="1" applyNumberFormat="1">
      <alignment horizontal="center" readingOrder="0" vertical="bottom"/>
    </xf>
    <xf borderId="23" fillId="0" fontId="34" numFmtId="164" xfId="0" applyAlignment="1" applyBorder="1" applyFont="1" applyNumberFormat="1">
      <alignment horizontal="center" readingOrder="0" vertical="bottom"/>
    </xf>
    <xf borderId="23" fillId="0" fontId="34" numFmtId="164" xfId="0" applyAlignment="1" applyBorder="1" applyFont="1" applyNumberFormat="1">
      <alignment horizontal="center" vertical="bottom"/>
    </xf>
    <xf borderId="0" fillId="0" fontId="31" numFmtId="170" xfId="0" applyAlignment="1" applyFont="1" applyNumberFormat="1">
      <alignment horizontal="center"/>
    </xf>
    <xf borderId="0" fillId="0" fontId="29" numFmtId="0" xfId="0" applyAlignment="1" applyFont="1">
      <alignment horizontal="center" readingOrder="0"/>
    </xf>
    <xf borderId="37" fillId="0" fontId="34" numFmtId="171" xfId="0" applyAlignment="1" applyBorder="1" applyFont="1" applyNumberFormat="1">
      <alignment horizontal="center" vertical="bottom"/>
    </xf>
    <xf borderId="0" fillId="0" fontId="34" numFmtId="164" xfId="0" applyAlignment="1" applyFont="1" applyNumberFormat="1">
      <alignment horizontal="center" vertical="bottom"/>
    </xf>
    <xf borderId="0" fillId="0" fontId="34" numFmtId="164" xfId="0" applyAlignment="1" applyFont="1" applyNumberFormat="1">
      <alignment horizontal="center"/>
    </xf>
    <xf borderId="0" fillId="0" fontId="2" numFmtId="164" xfId="0" applyFont="1" applyNumberFormat="1"/>
    <xf borderId="0" fillId="0" fontId="2" numFmtId="164" xfId="0" applyAlignment="1" applyFont="1" applyNumberFormat="1">
      <alignment vertical="bottom"/>
    </xf>
    <xf borderId="23" fillId="0" fontId="15" numFmtId="0" xfId="0" applyAlignment="1" applyBorder="1" applyFont="1">
      <alignment vertical="bottom"/>
    </xf>
    <xf borderId="53" fillId="0" fontId="34" numFmtId="171" xfId="0" applyAlignment="1" applyBorder="1" applyFont="1" applyNumberFormat="1">
      <alignment horizontal="center" vertical="bottom"/>
    </xf>
    <xf borderId="33" fillId="9" fontId="51" numFmtId="0" xfId="0" applyAlignment="1" applyBorder="1" applyFont="1">
      <alignment vertical="bottom"/>
    </xf>
    <xf borderId="33" fillId="9" fontId="52" numFmtId="171" xfId="0" applyAlignment="1" applyBorder="1" applyFont="1" applyNumberFormat="1">
      <alignment horizontal="center" vertical="bottom"/>
    </xf>
    <xf borderId="35" fillId="9" fontId="31" numFmtId="171" xfId="0" applyAlignment="1" applyBorder="1" applyFont="1" applyNumberFormat="1">
      <alignment horizontal="center"/>
    </xf>
    <xf borderId="20" fillId="0" fontId="2" numFmtId="171" xfId="0" applyBorder="1" applyFont="1" applyNumberFormat="1"/>
    <xf borderId="4" fillId="13" fontId="31" numFmtId="0" xfId="0" applyBorder="1" applyFill="1" applyFont="1"/>
    <xf borderId="4" fillId="13" fontId="32" numFmtId="171" xfId="0" applyAlignment="1" applyBorder="1" applyFont="1" applyNumberFormat="1">
      <alignment horizontal="center"/>
    </xf>
    <xf borderId="21" fillId="6" fontId="34" numFmtId="171" xfId="0" applyAlignment="1" applyBorder="1" applyFont="1" applyNumberFormat="1">
      <alignment horizontal="center"/>
    </xf>
    <xf borderId="22" fillId="6" fontId="34" numFmtId="171" xfId="0" applyAlignment="1" applyBorder="1" applyFont="1" applyNumberFormat="1">
      <alignment horizont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13" fontId="31" numFmtId="0" xfId="0" applyFont="1"/>
    <xf borderId="0" fillId="0" fontId="32" numFmtId="171" xfId="0" applyAlignment="1" applyFont="1" applyNumberFormat="1">
      <alignment horizontal="center"/>
    </xf>
    <xf borderId="20" fillId="0" fontId="31" numFmtId="171" xfId="0" applyAlignment="1" applyBorder="1" applyFont="1" applyNumberFormat="1">
      <alignment horizontal="center"/>
    </xf>
    <xf borderId="0" fillId="0" fontId="2" numFmtId="169" xfId="0" applyFont="1" applyNumberFormat="1"/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DFDCE3"/>
          <bgColor rgb="FFDFDCE3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C4A1A"/>
          <bgColor rgb="FFFC4A1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  <tableStyles count="3">
    <tableStyle count="4" pivot="0" name="Entrad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aídas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Transf Interna-style">
      <tableStyleElement dxfId="1" type="headerRow"/>
      <tableStyleElement dxfId="6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400">
                <a:solidFill>
                  <a:srgbClr val="434343"/>
                </a:solidFill>
                <a:latin typeface="+mn-lt"/>
              </a:defRPr>
            </a:pPr>
            <a:r>
              <a:rPr b="0" sz="1400">
                <a:solidFill>
                  <a:srgbClr val="434343"/>
                </a:solidFill>
                <a:latin typeface="+mn-lt"/>
              </a:rPr>
              <a:t>Projeção do caixa para os próximos 15 dias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XX!$C$2</c:f>
            </c:strRef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XX!$B$3:$B$17</c:f>
            </c:strRef>
          </c:cat>
          <c:val>
            <c:numRef>
              <c:f>XX!$C$3:$C$17</c:f>
              <c:numCache/>
            </c:numRef>
          </c:val>
        </c:ser>
        <c:ser>
          <c:idx val="1"/>
          <c:order val="1"/>
          <c:tx>
            <c:strRef>
              <c:f>XX!$D$2</c:f>
            </c:strRef>
          </c:tx>
          <c:spPr>
            <a:solidFill>
              <a:srgbClr val="FF0000"/>
            </a:solidFill>
            <a:ln cmpd="sng">
              <a:noFill/>
            </a:ln>
          </c:spPr>
          <c:cat>
            <c:strRef>
              <c:f>XX!$B$3:$B$17</c:f>
            </c:strRef>
          </c:cat>
          <c:val>
            <c:numRef>
              <c:f>XX!$D$3:$D$17</c:f>
              <c:numCache/>
            </c:numRef>
          </c:val>
        </c:ser>
        <c:axId val="770073884"/>
        <c:axId val="446975487"/>
      </c:barChart>
      <c:lineChart>
        <c:varyColors val="0"/>
        <c:ser>
          <c:idx val="2"/>
          <c:order val="2"/>
          <c:tx>
            <c:strRef>
              <c:f>XX!$E$2</c:f>
            </c:strRef>
          </c:tx>
          <c:spPr>
            <a:ln cmpd="sng">
              <a:solidFill>
                <a:srgbClr val="FBBC04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cat>
            <c:strRef>
              <c:f>XX!$B$3:$B$17</c:f>
            </c:strRef>
          </c:cat>
          <c:val>
            <c:numRef>
              <c:f>XX!$E$3:$E$17</c:f>
              <c:numCache/>
            </c:numRef>
          </c:val>
          <c:smooth val="1"/>
        </c:ser>
        <c:axId val="770073884"/>
        <c:axId val="446975487"/>
      </c:lineChart>
      <c:catAx>
        <c:axId val="7700738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6975487"/>
      </c:catAx>
      <c:valAx>
        <c:axId val="4469754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0073884"/>
      </c:valAx>
    </c:plotArea>
    <c:legend>
      <c:legendPos val="r"/>
      <c:layout>
        <c:manualLayout>
          <c:xMode val="edge"/>
          <c:yMode val="edge"/>
          <c:x val="0.9029056437389771"/>
          <c:y val="0.36283643892339545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RESULTADO DO ULTIMO SEMESTRE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XX!$I$2</c:f>
            </c:strRef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XX!$H$3:$H$8</c:f>
            </c:strRef>
          </c:cat>
          <c:val>
            <c:numRef>
              <c:f>XX!$I$3:$I$8</c:f>
              <c:numCache/>
            </c:numRef>
          </c:val>
        </c:ser>
        <c:ser>
          <c:idx val="1"/>
          <c:order val="1"/>
          <c:tx>
            <c:strRef>
              <c:f>XX!$J$2</c:f>
            </c:strRef>
          </c:tx>
          <c:spPr>
            <a:solidFill>
              <a:srgbClr val="FF0000"/>
            </a:solidFill>
            <a:ln cmpd="sng">
              <a:noFill/>
            </a:ln>
          </c:spPr>
          <c:cat>
            <c:strRef>
              <c:f>XX!$H$3:$H$8</c:f>
            </c:strRef>
          </c:cat>
          <c:val>
            <c:numRef>
              <c:f>XX!$J$3:$J$8</c:f>
              <c:numCache/>
            </c:numRef>
          </c:val>
        </c:ser>
        <c:axId val="2000576021"/>
        <c:axId val="1023396368"/>
      </c:barChart>
      <c:lineChart>
        <c:varyColors val="0"/>
        <c:ser>
          <c:idx val="2"/>
          <c:order val="2"/>
          <c:tx>
            <c:strRef>
              <c:f>XX!$K$2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7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262626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XX!$H$3:$H$8</c:f>
            </c:strRef>
          </c:cat>
          <c:val>
            <c:numRef>
              <c:f>XX!$K$3:$K$8</c:f>
              <c:numCache/>
            </c:numRef>
          </c:val>
          <c:smooth val="0"/>
        </c:ser>
        <c:axId val="2000576021"/>
        <c:axId val="1023396368"/>
      </c:lineChart>
      <c:catAx>
        <c:axId val="20005760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3396368"/>
      </c:catAx>
      <c:valAx>
        <c:axId val="10233963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0576021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GASTO POR CATEGORIAS</a:t>
            </a:r>
          </a:p>
        </c:rich>
      </c:tx>
      <c:overlay val="0"/>
    </c:title>
    <c:plotArea>
      <c:layout>
        <c:manualLayout>
          <c:xMode val="edge"/>
          <c:yMode val="edge"/>
          <c:x val="0.0125"/>
          <c:y val="0.13919925512104295"/>
          <c:w val="0.9683333333333334"/>
          <c:h val="0.7092183750087134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XX!$U$10:$U$19</c:f>
            </c:strRef>
          </c:cat>
          <c:val>
            <c:numRef>
              <c:f>XX!$V$10:$V$19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RECEITAS POR CATEGORIA</a:t>
            </a:r>
          </a:p>
        </c:rich>
      </c:tx>
      <c:overlay val="0"/>
    </c:title>
    <c:plotArea>
      <c:layout>
        <c:manualLayout>
          <c:xMode val="edge"/>
          <c:yMode val="edge"/>
          <c:x val="0.027583333333333352"/>
          <c:y val="0.1955525606469003"/>
          <c:w val="0.9381666666666668"/>
          <c:h val="0.6548517520215633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XX!$U$3:$U$6</c:f>
            </c:strRef>
          </c:cat>
          <c:val>
            <c:numRef>
              <c:f>XX!$V$3:$V$6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800">
                <a:solidFill>
                  <a:srgbClr val="434343"/>
                </a:solidFill>
                <a:latin typeface="+mn-lt"/>
              </a:defRPr>
            </a:pPr>
            <a:r>
              <a:rPr b="0" sz="1800">
                <a:solidFill>
                  <a:srgbClr val="434343"/>
                </a:solidFill>
                <a:latin typeface="+mn-lt"/>
              </a:rPr>
              <a:t>PROJEÇÃO DO CAIXA PARA 10 DIAS</a:t>
            </a:r>
          </a:p>
        </c:rich>
      </c:tx>
      <c:overlay val="0"/>
    </c:title>
    <c:plotArea>
      <c:layout>
        <c:manualLayout>
          <c:xMode val="edge"/>
          <c:yMode val="edge"/>
          <c:x val="0.18682505399568033"/>
          <c:y val="0.26401869158878505"/>
          <c:w val="0.5939524838012961"/>
          <c:h val="0.5741800661751899"/>
        </c:manualLayout>
      </c:layout>
      <c:barChart>
        <c:barDir val="col"/>
        <c:ser>
          <c:idx val="0"/>
          <c:order val="0"/>
          <c:tx>
            <c:strRef>
              <c:f>XX!$A$2</c:f>
            </c:strRef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XX!$B$3:$B$12</c:f>
            </c:strRef>
          </c:cat>
          <c:val>
            <c:numRef>
              <c:f>XX!$A$3:$A$12</c:f>
              <c:numCache/>
            </c:numRef>
          </c:val>
        </c:ser>
        <c:ser>
          <c:idx val="1"/>
          <c:order val="1"/>
          <c:tx>
            <c:strRef>
              <c:f>XX!$C$2</c:f>
            </c:strRef>
          </c:tx>
          <c:spPr>
            <a:solidFill>
              <a:srgbClr val="FF0000"/>
            </a:solidFill>
            <a:ln cmpd="sng">
              <a:noFill/>
            </a:ln>
          </c:spPr>
          <c:cat>
            <c:strRef>
              <c:f>XX!$B$3:$B$12</c:f>
            </c:strRef>
          </c:cat>
          <c:val>
            <c:numRef>
              <c:f>XX!$C$3:$C$12</c:f>
              <c:numCache/>
            </c:numRef>
          </c:val>
        </c:ser>
        <c:axId val="1588401449"/>
        <c:axId val="2086801952"/>
      </c:barChart>
      <c:lineChart>
        <c:varyColors val="0"/>
        <c:ser>
          <c:idx val="2"/>
          <c:order val="2"/>
          <c:tx>
            <c:strRef>
              <c:f>XX!$D$2</c:f>
            </c:strRef>
          </c:tx>
          <c:spPr>
            <a:ln cmpd="sng">
              <a:solidFill>
                <a:srgbClr val="FBBC04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cat>
            <c:strRef>
              <c:f>XX!$B$3:$B$12</c:f>
            </c:strRef>
          </c:cat>
          <c:val>
            <c:numRef>
              <c:f>XX!$D$3:$D$12</c:f>
              <c:numCache/>
            </c:numRef>
          </c:val>
          <c:smooth val="1"/>
        </c:ser>
        <c:axId val="1588401449"/>
        <c:axId val="2086801952"/>
      </c:lineChart>
      <c:catAx>
        <c:axId val="15884014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6801952"/>
      </c:catAx>
      <c:valAx>
        <c:axId val="20868019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[$R$ -416]#,##0.0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Arial"/>
              </a:defRPr>
            </a:pPr>
          </a:p>
        </c:txPr>
        <c:crossAx val="1588401449"/>
      </c:valAx>
    </c:plotArea>
    <c:legend>
      <c:legendPos val="r"/>
      <c:overlay val="0"/>
      <c:txPr>
        <a:bodyPr/>
        <a:lstStyle/>
        <a:p>
          <a:pPr lvl="0">
            <a:defRPr b="0" sz="1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RESULTADO DO ULTIMO SEMESTRE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XX!$I$2</c:f>
            </c:strRef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XX!$H$3:$H$8</c:f>
            </c:strRef>
          </c:cat>
          <c:val>
            <c:numRef>
              <c:f>XX!$I$3:$I$8</c:f>
              <c:numCache/>
            </c:numRef>
          </c:val>
        </c:ser>
        <c:ser>
          <c:idx val="1"/>
          <c:order val="1"/>
          <c:tx>
            <c:strRef>
              <c:f>XX!$J$2</c:f>
            </c:strRef>
          </c:tx>
          <c:spPr>
            <a:solidFill>
              <a:srgbClr val="FF0000"/>
            </a:solidFill>
            <a:ln cmpd="sng">
              <a:noFill/>
            </a:ln>
          </c:spPr>
          <c:cat>
            <c:strRef>
              <c:f>XX!$H$3:$H$8</c:f>
            </c:strRef>
          </c:cat>
          <c:val>
            <c:numRef>
              <c:f>XX!$J$3:$J$8</c:f>
              <c:numCache/>
            </c:numRef>
          </c:val>
        </c:ser>
        <c:axId val="1305701874"/>
        <c:axId val="1115629484"/>
      </c:barChart>
      <c:lineChart>
        <c:varyColors val="0"/>
        <c:ser>
          <c:idx val="2"/>
          <c:order val="2"/>
          <c:tx>
            <c:strRef>
              <c:f>XX!$K$2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7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dPt>
            <c:idx val="5"/>
            <c:marker>
              <c:symbol val="none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 b="1" sz="1200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XX!$H$3:$H$8</c:f>
            </c:strRef>
          </c:cat>
          <c:val>
            <c:numRef>
              <c:f>XX!$K$3:$K$8</c:f>
              <c:numCache/>
            </c:numRef>
          </c:val>
          <c:smooth val="0"/>
        </c:ser>
        <c:axId val="1305701874"/>
        <c:axId val="1115629484"/>
      </c:lineChart>
      <c:catAx>
        <c:axId val="13057018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1115629484"/>
      </c:catAx>
      <c:valAx>
        <c:axId val="11156294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57018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GASTO POR CATEGORIAS</a:t>
            </a:r>
          </a:p>
        </c:rich>
      </c:tx>
      <c:overlay val="0"/>
    </c:title>
    <c:plotArea>
      <c:layout>
        <c:manualLayout>
          <c:xMode val="edge"/>
          <c:yMode val="edge"/>
          <c:x val="0.0125"/>
          <c:y val="0.13919925512104295"/>
          <c:w val="0.9683333333333334"/>
          <c:h val="0.7092183750087134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XX!$U$10:$U$19</c:f>
            </c:strRef>
          </c:cat>
          <c:val>
            <c:numRef>
              <c:f>XX!$V$10:$V$19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RECEITAS POR CATEGORIA</a:t>
            </a:r>
          </a:p>
        </c:rich>
      </c:tx>
      <c:overlay val="0"/>
    </c:title>
    <c:plotArea>
      <c:layout>
        <c:manualLayout>
          <c:xMode val="edge"/>
          <c:yMode val="edge"/>
          <c:x val="0.027583333333333352"/>
          <c:y val="0.1955525606469003"/>
          <c:w val="0.9381666666666668"/>
          <c:h val="0.6548517520215633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XX!$U$3:$U$6</c:f>
            </c:strRef>
          </c:cat>
          <c:val>
            <c:numRef>
              <c:f>XX!$V$3:$V$6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800">
                <a:solidFill>
                  <a:srgbClr val="434343"/>
                </a:solidFill>
                <a:latin typeface="+mn-lt"/>
              </a:defRPr>
            </a:pPr>
            <a:r>
              <a:rPr b="0" sz="1800">
                <a:solidFill>
                  <a:srgbClr val="434343"/>
                </a:solidFill>
                <a:latin typeface="+mn-lt"/>
              </a:rPr>
              <a:t>PROJEÇÃO DO CAIXA PARA 10 DIAS</a:t>
            </a:r>
          </a:p>
        </c:rich>
      </c:tx>
      <c:overlay val="0"/>
    </c:title>
    <c:plotArea>
      <c:layout>
        <c:manualLayout>
          <c:xMode val="edge"/>
          <c:yMode val="edge"/>
          <c:x val="0.18682505399568033"/>
          <c:y val="0.26401869158878505"/>
          <c:w val="0.5939524838012961"/>
          <c:h val="0.5741800661751899"/>
        </c:manualLayout>
      </c:layout>
      <c:barChart>
        <c:barDir val="col"/>
        <c:ser>
          <c:idx val="0"/>
          <c:order val="0"/>
          <c:tx>
            <c:strRef>
              <c:f>XX!$A$2</c:f>
            </c:strRef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XX!$B$3:$B$12</c:f>
            </c:strRef>
          </c:cat>
          <c:val>
            <c:numRef>
              <c:f>XX!$A$3:$A$12</c:f>
              <c:numCache/>
            </c:numRef>
          </c:val>
        </c:ser>
        <c:ser>
          <c:idx val="1"/>
          <c:order val="1"/>
          <c:tx>
            <c:strRef>
              <c:f>XX!$C$2</c:f>
            </c:strRef>
          </c:tx>
          <c:spPr>
            <a:solidFill>
              <a:srgbClr val="FF0000"/>
            </a:solidFill>
            <a:ln cmpd="sng">
              <a:noFill/>
            </a:ln>
          </c:spPr>
          <c:cat>
            <c:strRef>
              <c:f>XX!$B$3:$B$12</c:f>
            </c:strRef>
          </c:cat>
          <c:val>
            <c:numRef>
              <c:f>XX!$C$3:$C$12</c:f>
              <c:numCache/>
            </c:numRef>
          </c:val>
        </c:ser>
        <c:axId val="1938161167"/>
        <c:axId val="400070047"/>
      </c:barChart>
      <c:lineChart>
        <c:varyColors val="0"/>
        <c:ser>
          <c:idx val="2"/>
          <c:order val="2"/>
          <c:tx>
            <c:strRef>
              <c:f>XX!$D$2</c:f>
            </c:strRef>
          </c:tx>
          <c:spPr>
            <a:ln cmpd="sng">
              <a:solidFill>
                <a:srgbClr val="FBBC04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dPt>
            <c:idx val="7"/>
            <c:marker>
              <c:symbol val="none"/>
            </c:marker>
          </c:dPt>
          <c:cat>
            <c:strRef>
              <c:f>XX!$B$3:$B$12</c:f>
            </c:strRef>
          </c:cat>
          <c:val>
            <c:numRef>
              <c:f>XX!$D$3:$D$12</c:f>
              <c:numCache/>
            </c:numRef>
          </c:val>
          <c:smooth val="1"/>
        </c:ser>
        <c:axId val="1938161167"/>
        <c:axId val="400070047"/>
      </c:lineChart>
      <c:catAx>
        <c:axId val="19381611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0070047"/>
      </c:catAx>
      <c:valAx>
        <c:axId val="4000700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[$R$ -416]#,##0.0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Arial"/>
              </a:defRPr>
            </a:pPr>
          </a:p>
        </c:txPr>
        <c:crossAx val="1938161167"/>
      </c:valAx>
    </c:plotArea>
    <c:legend>
      <c:legendPos val="r"/>
      <c:overlay val="0"/>
      <c:txPr>
        <a:bodyPr/>
        <a:lstStyle/>
        <a:p>
          <a:pPr lvl="0">
            <a:defRPr b="0" sz="1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RESULTADO DO ULTIMO SEMESTRE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XX!$I$2</c:f>
            </c:strRef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XX!$H$3:$H$8</c:f>
            </c:strRef>
          </c:cat>
          <c:val>
            <c:numRef>
              <c:f>XX!$I$3:$I$8</c:f>
              <c:numCache/>
            </c:numRef>
          </c:val>
        </c:ser>
        <c:ser>
          <c:idx val="1"/>
          <c:order val="1"/>
          <c:tx>
            <c:strRef>
              <c:f>XX!$J$2</c:f>
            </c:strRef>
          </c:tx>
          <c:spPr>
            <a:solidFill>
              <a:srgbClr val="FF0000"/>
            </a:solidFill>
            <a:ln cmpd="sng">
              <a:noFill/>
            </a:ln>
          </c:spPr>
          <c:cat>
            <c:strRef>
              <c:f>XX!$H$3:$H$8</c:f>
            </c:strRef>
          </c:cat>
          <c:val>
            <c:numRef>
              <c:f>XX!$J$3:$J$8</c:f>
              <c:numCache/>
            </c:numRef>
          </c:val>
        </c:ser>
        <c:axId val="1133096964"/>
        <c:axId val="1016838796"/>
      </c:barChart>
      <c:lineChart>
        <c:varyColors val="0"/>
        <c:ser>
          <c:idx val="2"/>
          <c:order val="2"/>
          <c:tx>
            <c:strRef>
              <c:f>XX!$K$2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7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dPt>
            <c:idx val="5"/>
            <c:marker>
              <c:symbol val="none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XX!$H$3:$H$8</c:f>
            </c:strRef>
          </c:cat>
          <c:val>
            <c:numRef>
              <c:f>XX!$K$3:$K$8</c:f>
              <c:numCache/>
            </c:numRef>
          </c:val>
          <c:smooth val="0"/>
        </c:ser>
        <c:axId val="1133096964"/>
        <c:axId val="1016838796"/>
      </c:lineChart>
      <c:catAx>
        <c:axId val="11330969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1016838796"/>
      </c:catAx>
      <c:valAx>
        <c:axId val="10168387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309696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GASTO POR CATEGORIAS</a:t>
            </a:r>
          </a:p>
        </c:rich>
      </c:tx>
      <c:overlay val="0"/>
    </c:title>
    <c:plotArea>
      <c:layout>
        <c:manualLayout>
          <c:xMode val="edge"/>
          <c:yMode val="edge"/>
          <c:x val="0.0125"/>
          <c:y val="0.13919925512104295"/>
          <c:w val="0.9683333333333334"/>
          <c:h val="0.7092183750087134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XX!$U$10:$U$19</c:f>
            </c:strRef>
          </c:cat>
          <c:val>
            <c:numRef>
              <c:f>XX!$V$10:$V$19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RECEITAS POR CATEGORIA</a:t>
            </a:r>
          </a:p>
        </c:rich>
      </c:tx>
      <c:overlay val="0"/>
    </c:title>
    <c:plotArea>
      <c:layout>
        <c:manualLayout>
          <c:xMode val="edge"/>
          <c:yMode val="edge"/>
          <c:x val="0.027583333333333352"/>
          <c:y val="0.1955525606469003"/>
          <c:w val="0.9381666666666668"/>
          <c:h val="0.6548517520215633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XX!$U$3:$U$6</c:f>
            </c:strRef>
          </c:cat>
          <c:val>
            <c:numRef>
              <c:f>XX!$V$3:$V$6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Relationship Id="rId3" Type="http://schemas.openxmlformats.org/officeDocument/2006/relationships/chart" Target="../charts/chart11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942975</xdr:colOff>
      <xdr:row>4</xdr:row>
      <xdr:rowOff>85725</xdr:rowOff>
    </xdr:from>
    <xdr:ext cx="4314825" cy="1247775"/>
    <xdr:sp>
      <xdr:nvSpPr>
        <xdr:cNvPr id="3" name="Shape 3"/>
        <xdr:cNvSpPr/>
      </xdr:nvSpPr>
      <xdr:spPr>
        <a:xfrm>
          <a:off x="1228425" y="324925"/>
          <a:ext cx="4293000" cy="1229400"/>
        </a:xfrm>
        <a:prstGeom prst="roundRect">
          <a:avLst>
            <a:gd fmla="val 16667" name="adj"/>
          </a:avLst>
        </a:prstGeom>
        <a:solidFill>
          <a:srgbClr val="F1C232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buNone/>
          </a:pPr>
          <a:r>
            <a:rPr b="1" lang="en-US" sz="1200">
              <a:solidFill>
                <a:srgbClr val="3F3F3F"/>
              </a:solidFill>
              <a:latin typeface="Calibri"/>
              <a:ea typeface="Calibri"/>
              <a:cs typeface="Calibri"/>
              <a:sym typeface="Calibri"/>
            </a:rPr>
            <a:t>AVISO IMPORTANTE 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buNone/>
          </a:pPr>
          <a:r>
            <a:rPr lang="en-US" sz="1200">
              <a:solidFill>
                <a:srgbClr val="3F3F3F"/>
              </a:solidFill>
              <a:latin typeface="Calibri"/>
              <a:ea typeface="Calibri"/>
              <a:cs typeface="Calibri"/>
              <a:sym typeface="Calibri"/>
            </a:rPr>
            <a:t>Essa planilha é uma propriedade intelectual da Macro Bit. Está vedada qualquer utilização ou redistribuição dessa ferramenta para qualquer fim sem a nossa anuência. </a:t>
          </a:r>
          <a:endParaRPr sz="1400"/>
        </a:p>
      </xdr:txBody>
    </xdr:sp>
    <xdr:clientData fLocksWithSheet="0"/>
  </xdr:oneCellAnchor>
  <xdr:oneCellAnchor>
    <xdr:from>
      <xdr:col>7</xdr:col>
      <xdr:colOff>38100</xdr:colOff>
      <xdr:row>11</xdr:row>
      <xdr:rowOff>19050</xdr:rowOff>
    </xdr:from>
    <xdr:ext cx="4314825" cy="1333500"/>
    <xdr:sp>
      <xdr:nvSpPr>
        <xdr:cNvPr id="4" name="Shape 4"/>
        <xdr:cNvSpPr/>
      </xdr:nvSpPr>
      <xdr:spPr>
        <a:xfrm>
          <a:off x="500950" y="611800"/>
          <a:ext cx="4918200" cy="1311600"/>
        </a:xfrm>
        <a:prstGeom prst="roundRect">
          <a:avLst>
            <a:gd fmla="val 16667" name="adj"/>
          </a:avLst>
        </a:prstGeom>
        <a:solidFill>
          <a:srgbClr val="F1C232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solidFill>
                <a:srgbClr val="434343"/>
              </a:solidFill>
              <a:latin typeface="Calibri"/>
              <a:ea typeface="Calibri"/>
              <a:cs typeface="Calibri"/>
              <a:sym typeface="Calibri"/>
            </a:rPr>
            <a:t>FALE COM A GENTE CASO PRECISE DE AJUDA</a:t>
          </a:r>
          <a:br>
            <a:rPr b="1" lang="en-US" sz="1200">
              <a:solidFill>
                <a:srgbClr val="434343"/>
              </a:solidFill>
              <a:latin typeface="Calibri"/>
              <a:ea typeface="Calibri"/>
              <a:cs typeface="Calibri"/>
              <a:sym typeface="Calibri"/>
            </a:rPr>
          </a:br>
          <a:endParaRPr b="1" sz="1100">
            <a:solidFill>
              <a:srgbClr val="434343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solidFill>
                <a:srgbClr val="434343"/>
              </a:solidFill>
              <a:latin typeface="Calibri"/>
              <a:ea typeface="Calibri"/>
              <a:cs typeface="Calibri"/>
              <a:sym typeface="Calibri"/>
            </a:rPr>
            <a:t>E-mail: suporte@macrobit.com.br</a:t>
          </a:r>
          <a:br>
            <a:rPr lang="en-US" sz="1200">
              <a:solidFill>
                <a:srgbClr val="434343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1200">
              <a:solidFill>
                <a:srgbClr val="434343"/>
              </a:solidFill>
              <a:latin typeface="Calibri"/>
              <a:ea typeface="Calibri"/>
              <a:cs typeface="Calibri"/>
              <a:sym typeface="Calibri"/>
            </a:rPr>
            <a:t>Whatsapp: 22981526045</a:t>
          </a:r>
          <a:br>
            <a:rPr lang="en-US" sz="1200">
              <a:solidFill>
                <a:srgbClr val="434343"/>
              </a:solidFill>
              <a:latin typeface="Calibri"/>
              <a:ea typeface="Calibri"/>
              <a:cs typeface="Calibri"/>
              <a:sym typeface="Calibri"/>
            </a:rPr>
          </a:br>
          <a:r>
            <a:rPr b="1" lang="en-US" sz="1200">
              <a:solidFill>
                <a:srgbClr val="434343"/>
              </a:solidFill>
              <a:latin typeface="Calibri"/>
              <a:ea typeface="Calibri"/>
              <a:cs typeface="Calibri"/>
              <a:sym typeface="Calibri"/>
            </a:rPr>
            <a:t>Ou acesse nosso site: macrobit.com.br/contato</a:t>
          </a:r>
          <a:endParaRPr sz="1400">
            <a:solidFill>
              <a:srgbClr val="434343"/>
            </a:solidFill>
          </a:endParaRP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85725</xdr:colOff>
      <xdr:row>2</xdr:row>
      <xdr:rowOff>276225</xdr:rowOff>
    </xdr:from>
    <xdr:ext cx="9858375" cy="153352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114300</xdr:colOff>
      <xdr:row>8</xdr:row>
      <xdr:rowOff>114300</xdr:rowOff>
    </xdr:from>
    <xdr:ext cx="5895975" cy="24288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104775</xdr:colOff>
      <xdr:row>18</xdr:row>
      <xdr:rowOff>114300</xdr:rowOff>
    </xdr:from>
    <xdr:ext cx="6886575" cy="3409950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114300</xdr:colOff>
      <xdr:row>18</xdr:row>
      <xdr:rowOff>104775</xdr:rowOff>
    </xdr:from>
    <xdr:ext cx="5895975" cy="3409950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</xdr:col>
      <xdr:colOff>152400</xdr:colOff>
      <xdr:row>9</xdr:row>
      <xdr:rowOff>142875</xdr:rowOff>
    </xdr:from>
    <xdr:ext cx="676275" cy="847725"/>
    <xdr:sp>
      <xdr:nvSpPr>
        <xdr:cNvPr id="5" name="Shape 5"/>
        <xdr:cNvSpPr/>
      </xdr:nvSpPr>
      <xdr:spPr>
        <a:xfrm>
          <a:off x="2437450" y="837225"/>
          <a:ext cx="1690500" cy="2664000"/>
        </a:xfrm>
        <a:prstGeom prst="chevron">
          <a:avLst>
            <a:gd fmla="val 50000" name="adj"/>
          </a:avLst>
        </a:prstGeom>
        <a:noFill/>
        <a:ln cap="flat" cmpd="sng" w="76200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95250</xdr:colOff>
      <xdr:row>14</xdr:row>
      <xdr:rowOff>57150</xdr:rowOff>
    </xdr:from>
    <xdr:ext cx="676275" cy="847725"/>
    <xdr:sp>
      <xdr:nvSpPr>
        <xdr:cNvPr id="6" name="Shape 6"/>
        <xdr:cNvSpPr/>
      </xdr:nvSpPr>
      <xdr:spPr>
        <a:xfrm>
          <a:off x="2662850" y="816725"/>
          <a:ext cx="1854600" cy="2991900"/>
        </a:xfrm>
        <a:prstGeom prst="chevron">
          <a:avLst>
            <a:gd fmla="val 50000" name="adj"/>
          </a:avLst>
        </a:prstGeom>
        <a:noFill/>
        <a:ln cap="flat" cmpd="sng" w="76200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15</xdr:row>
      <xdr:rowOff>200025</xdr:rowOff>
    </xdr:from>
    <xdr:ext cx="4410075" cy="2038350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133350</xdr:colOff>
      <xdr:row>26</xdr:row>
      <xdr:rowOff>190500</xdr:rowOff>
    </xdr:from>
    <xdr:ext cx="4410075" cy="2286000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0</xdr:colOff>
      <xdr:row>39</xdr:row>
      <xdr:rowOff>9525</xdr:rowOff>
    </xdr:from>
    <xdr:ext cx="4410075" cy="2543175"/>
    <xdr:graphicFrame>
      <xdr:nvGraphicFramePr>
        <xdr:cNvPr id="7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133350</xdr:colOff>
      <xdr:row>52</xdr:row>
      <xdr:rowOff>95250</xdr:rowOff>
    </xdr:from>
    <xdr:ext cx="4410075" cy="2905125"/>
    <xdr:graphicFrame>
      <xdr:nvGraphicFramePr>
        <xdr:cNvPr id="8" name="Chart 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</xdr:col>
      <xdr:colOff>152400</xdr:colOff>
      <xdr:row>6</xdr:row>
      <xdr:rowOff>142875</xdr:rowOff>
    </xdr:from>
    <xdr:ext cx="676275" cy="704850"/>
    <xdr:sp>
      <xdr:nvSpPr>
        <xdr:cNvPr id="5" name="Shape 5"/>
        <xdr:cNvSpPr/>
      </xdr:nvSpPr>
      <xdr:spPr>
        <a:xfrm>
          <a:off x="2437450" y="837225"/>
          <a:ext cx="1690500" cy="2664000"/>
        </a:xfrm>
        <a:prstGeom prst="chevron">
          <a:avLst>
            <a:gd fmla="val 50000" name="adj"/>
          </a:avLst>
        </a:prstGeom>
        <a:noFill/>
        <a:ln cap="flat" cmpd="sng" w="76200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95250</xdr:colOff>
      <xdr:row>11</xdr:row>
      <xdr:rowOff>57150</xdr:rowOff>
    </xdr:from>
    <xdr:ext cx="676275" cy="781050"/>
    <xdr:sp>
      <xdr:nvSpPr>
        <xdr:cNvPr id="6" name="Shape 6"/>
        <xdr:cNvSpPr/>
      </xdr:nvSpPr>
      <xdr:spPr>
        <a:xfrm>
          <a:off x="2662850" y="816725"/>
          <a:ext cx="1854600" cy="2991900"/>
        </a:xfrm>
        <a:prstGeom prst="chevron">
          <a:avLst>
            <a:gd fmla="val 50000" name="adj"/>
          </a:avLst>
        </a:prstGeom>
        <a:noFill/>
        <a:ln cap="flat" cmpd="sng" w="76200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104775</xdr:colOff>
      <xdr:row>0</xdr:row>
      <xdr:rowOff>95250</xdr:rowOff>
    </xdr:from>
    <xdr:ext cx="4410075" cy="1724025"/>
    <xdr:graphicFrame>
      <xdr:nvGraphicFramePr>
        <xdr:cNvPr id="9" name="Chart 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104775</xdr:colOff>
      <xdr:row>8</xdr:row>
      <xdr:rowOff>9525</xdr:rowOff>
    </xdr:from>
    <xdr:ext cx="4410075" cy="1828800"/>
    <xdr:graphicFrame>
      <xdr:nvGraphicFramePr>
        <xdr:cNvPr id="10" name="Chart 1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0</xdr:colOff>
      <xdr:row>16</xdr:row>
      <xdr:rowOff>9525</xdr:rowOff>
    </xdr:from>
    <xdr:ext cx="4410075" cy="2543175"/>
    <xdr:graphicFrame>
      <xdr:nvGraphicFramePr>
        <xdr:cNvPr id="11" name="Chart 1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104775</xdr:colOff>
      <xdr:row>16</xdr:row>
      <xdr:rowOff>9525</xdr:rowOff>
    </xdr:from>
    <xdr:ext cx="4410075" cy="2543175"/>
    <xdr:graphicFrame>
      <xdr:nvGraphicFramePr>
        <xdr:cNvPr id="12" name="Chart 1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</xdr:col>
      <xdr:colOff>152400</xdr:colOff>
      <xdr:row>6</xdr:row>
      <xdr:rowOff>142875</xdr:rowOff>
    </xdr:from>
    <xdr:ext cx="676275" cy="704850"/>
    <xdr:sp>
      <xdr:nvSpPr>
        <xdr:cNvPr id="5" name="Shape 5"/>
        <xdr:cNvSpPr/>
      </xdr:nvSpPr>
      <xdr:spPr>
        <a:xfrm>
          <a:off x="2437450" y="837225"/>
          <a:ext cx="1690500" cy="2664000"/>
        </a:xfrm>
        <a:prstGeom prst="chevron">
          <a:avLst>
            <a:gd fmla="val 50000" name="adj"/>
          </a:avLst>
        </a:prstGeom>
        <a:noFill/>
        <a:ln cap="flat" cmpd="sng" w="76200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95250</xdr:colOff>
      <xdr:row>11</xdr:row>
      <xdr:rowOff>57150</xdr:rowOff>
    </xdr:from>
    <xdr:ext cx="676275" cy="781050"/>
    <xdr:sp>
      <xdr:nvSpPr>
        <xdr:cNvPr id="6" name="Shape 6"/>
        <xdr:cNvSpPr/>
      </xdr:nvSpPr>
      <xdr:spPr>
        <a:xfrm>
          <a:off x="2662850" y="816725"/>
          <a:ext cx="1854600" cy="2991900"/>
        </a:xfrm>
        <a:prstGeom prst="chevron">
          <a:avLst>
            <a:gd fmla="val 50000" name="adj"/>
          </a:avLst>
        </a:prstGeom>
        <a:noFill/>
        <a:ln cap="flat" cmpd="sng" w="76200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2:L26" displayName="Entradas" name="Entradas" id="1">
  <autoFilter ref="$B$2:$L$26"/>
  <tableColumns count="11">
    <tableColumn name="Descrição" id="1"/>
    <tableColumn name="Categoria" id="2"/>
    <tableColumn name="Classificação" id="3"/>
    <tableColumn name="Data da Competência" id="4"/>
    <tableColumn name="Data do Recebimento" id="5"/>
    <tableColumn name="Status" id="6"/>
    <tableColumn name="Cliente" id="7"/>
    <tableColumn name="Valores" id="8"/>
    <tableColumn name="Forma de Recebimento" id="9"/>
    <tableColumn name="Conta Financeira" id="10"/>
    <tableColumn name="Centro de Custos" id="11"/>
  </tableColumns>
  <tableStyleInfo name="Entradas-style" showColumnStripes="0" showFirstColumn="1" showLastColumn="1" showRowStripes="1"/>
</table>
</file>

<file path=xl/tables/table2.xml><?xml version="1.0" encoding="utf-8"?>
<table xmlns="http://schemas.openxmlformats.org/spreadsheetml/2006/main" ref="B2:L26" displayName="Saidas" name="Saidas" id="2">
  <autoFilter ref="$B$2:$L$26"/>
  <tableColumns count="11">
    <tableColumn name="Descrição" id="1"/>
    <tableColumn name="Categoria" id="2"/>
    <tableColumn name="Classificação" id="3"/>
    <tableColumn name="Data da Competência" id="4"/>
    <tableColumn name="Data do Pagamento" id="5"/>
    <tableColumn name="Status" id="6"/>
    <tableColumn name="Fornecedor" id="7"/>
    <tableColumn name="Valores" id="8"/>
    <tableColumn name="Forma de Recebimento" id="9"/>
    <tableColumn name="Conta Financeira" id="10"/>
    <tableColumn name="Centro de Custos" id="11"/>
  </tableColumns>
  <tableStyleInfo name="Saídas-style" showColumnStripes="0" showFirstColumn="1" showLastColumn="1" showRowStripes="1"/>
</table>
</file>

<file path=xl/tables/table3.xml><?xml version="1.0" encoding="utf-8"?>
<table xmlns="http://schemas.openxmlformats.org/spreadsheetml/2006/main" ref="B2:E9" displayName="Transferência_Interna" name="Transferência_Interna" id="3">
  <tableColumns count="4">
    <tableColumn name="Conta de Origem" id="1"/>
    <tableColumn name="Conta de Destino" id="2"/>
    <tableColumn name="Data" id="3"/>
    <tableColumn name="Valor" id="4"/>
  </tableColumns>
  <tableStyleInfo name="Transf Intern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macrobit.com.br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3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H1" s="1"/>
      <c r="I1" s="2"/>
      <c r="J1" s="2"/>
      <c r="K1" s="2"/>
      <c r="L1" s="3"/>
    </row>
    <row r="2">
      <c r="A2" s="5" t="s">
        <v>0</v>
      </c>
      <c r="H2" s="7" t="s">
        <v>1</v>
      </c>
      <c r="L2" s="8"/>
    </row>
    <row r="3">
      <c r="H3" s="13" t="s">
        <v>2</v>
      </c>
      <c r="L3" s="8"/>
    </row>
    <row r="4">
      <c r="A4" s="16" t="s">
        <v>7</v>
      </c>
      <c r="H4" s="18"/>
      <c r="I4" s="19"/>
      <c r="J4" s="19"/>
      <c r="K4" s="19"/>
      <c r="L4" s="21"/>
    </row>
    <row r="7">
      <c r="A7" s="23"/>
      <c r="B7" s="23"/>
      <c r="C7" s="23"/>
      <c r="D7" s="23"/>
      <c r="E7" s="23"/>
      <c r="F7" s="23"/>
      <c r="G7" s="25"/>
    </row>
    <row r="8">
      <c r="A8" s="16" t="s">
        <v>29</v>
      </c>
    </row>
    <row r="9">
      <c r="G9" s="27"/>
    </row>
    <row r="11">
      <c r="A11" s="30" t="s">
        <v>31</v>
      </c>
    </row>
    <row r="12">
      <c r="G12" s="31"/>
      <c r="H12" s="31"/>
      <c r="I12" s="31"/>
      <c r="J12" s="31"/>
      <c r="K12" s="31"/>
      <c r="L12" s="31"/>
    </row>
    <row r="13">
      <c r="G13" s="27"/>
    </row>
    <row r="16">
      <c r="G16" s="33"/>
    </row>
  </sheetData>
  <mergeCells count="10">
    <mergeCell ref="G9:L11"/>
    <mergeCell ref="G13:L15"/>
    <mergeCell ref="G16:L20"/>
    <mergeCell ref="A2:F3"/>
    <mergeCell ref="H2:L2"/>
    <mergeCell ref="H3:L3"/>
    <mergeCell ref="A4:F6"/>
    <mergeCell ref="G7:L8"/>
    <mergeCell ref="A8:F10"/>
    <mergeCell ref="A11:F15"/>
  </mergeCells>
  <hyperlinks>
    <hyperlink r:id="rId1" ref="H3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13"/>
    <col customWidth="1" min="2" max="2" width="20.0"/>
    <col customWidth="1" min="3" max="3" width="3.38"/>
    <col customWidth="1" min="4" max="4" width="24.25"/>
    <col customWidth="1" min="5" max="5" width="3.38"/>
    <col customWidth="1" min="6" max="6" width="24.25"/>
    <col customWidth="1" min="7" max="7" width="3.38"/>
    <col customWidth="1" min="8" max="8" width="24.25"/>
    <col customWidth="1" min="10" max="10" width="20.0"/>
    <col customWidth="1" min="11" max="11" width="3.38"/>
    <col customWidth="1" min="12" max="12" width="20.0"/>
    <col customWidth="1" min="13" max="13" width="3.38"/>
    <col customWidth="1" min="14" max="14" width="20.0"/>
    <col customWidth="1" min="15" max="15" width="3.38"/>
    <col customWidth="1" min="16" max="16" width="25.5"/>
    <col customWidth="1" min="17" max="17" width="3.38"/>
    <col customWidth="1" min="18" max="18" width="20.0"/>
    <col customWidth="1" min="19" max="19" width="3.38"/>
    <col customWidth="1" min="20" max="20" width="22.13"/>
    <col customWidth="1" min="21" max="21" width="3.38"/>
    <col customWidth="1" min="22" max="22" width="20.0"/>
    <col customWidth="1" min="23" max="23" width="3.38"/>
    <col customWidth="1" min="24" max="24" width="20.0"/>
    <col customWidth="1" min="25" max="25" width="3.38"/>
    <col customWidth="1" min="26" max="26" width="20.0"/>
  </cols>
  <sheetData>
    <row r="1">
      <c r="A1" s="4"/>
      <c r="B1" s="4"/>
      <c r="C1" s="4"/>
      <c r="D1" s="4"/>
      <c r="E1" s="6"/>
      <c r="F1" s="6"/>
      <c r="G1" s="6"/>
      <c r="H1" s="6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9"/>
      <c r="B2" s="11" t="s">
        <v>4</v>
      </c>
      <c r="C2" s="12"/>
      <c r="D2" s="12"/>
      <c r="E2" s="12"/>
      <c r="F2" s="12"/>
      <c r="G2" s="12"/>
      <c r="H2" s="12"/>
      <c r="I2" s="9"/>
      <c r="J2" s="14" t="s">
        <v>5</v>
      </c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9"/>
      <c r="B4" s="20" t="s">
        <v>13</v>
      </c>
      <c r="C4" s="9"/>
      <c r="D4" s="20" t="s">
        <v>14</v>
      </c>
      <c r="E4" s="9"/>
      <c r="F4" s="22" t="s">
        <v>15</v>
      </c>
      <c r="G4" s="9"/>
      <c r="H4" s="20" t="s">
        <v>17</v>
      </c>
      <c r="I4" s="9"/>
      <c r="J4" s="20" t="s">
        <v>18</v>
      </c>
      <c r="K4" s="9"/>
      <c r="L4" s="20" t="s">
        <v>19</v>
      </c>
      <c r="M4" s="9"/>
      <c r="N4" s="20" t="s">
        <v>21</v>
      </c>
      <c r="O4" s="9"/>
      <c r="P4" s="20" t="s">
        <v>22</v>
      </c>
      <c r="Q4" s="9"/>
      <c r="R4" s="20" t="s">
        <v>23</v>
      </c>
      <c r="S4" s="9"/>
      <c r="T4" s="20" t="s">
        <v>24</v>
      </c>
      <c r="U4" s="9"/>
      <c r="V4" s="20" t="s">
        <v>25</v>
      </c>
      <c r="W4" s="9"/>
      <c r="X4" s="20" t="s">
        <v>26</v>
      </c>
      <c r="Y4" s="9"/>
      <c r="Z4" s="20" t="s">
        <v>27</v>
      </c>
    </row>
    <row r="5">
      <c r="A5" s="9"/>
      <c r="B5" s="26" t="s">
        <v>28</v>
      </c>
      <c r="C5" s="28"/>
      <c r="D5" s="29" t="s">
        <v>30</v>
      </c>
      <c r="E5" s="28"/>
      <c r="F5" s="29" t="s">
        <v>32</v>
      </c>
      <c r="G5" s="28"/>
      <c r="H5" s="29" t="s">
        <v>33</v>
      </c>
      <c r="I5" s="9"/>
      <c r="J5" s="32" t="s">
        <v>34</v>
      </c>
      <c r="K5" s="28"/>
      <c r="L5" s="32" t="s">
        <v>35</v>
      </c>
      <c r="M5" s="28"/>
      <c r="N5" s="32" t="s">
        <v>36</v>
      </c>
      <c r="O5" s="28"/>
      <c r="P5" s="32" t="s">
        <v>37</v>
      </c>
      <c r="Q5" s="28"/>
      <c r="R5" s="32"/>
      <c r="S5" s="28"/>
      <c r="T5" s="32" t="s">
        <v>38</v>
      </c>
      <c r="U5" s="28"/>
      <c r="V5" s="32" t="s">
        <v>39</v>
      </c>
      <c r="W5" s="28"/>
      <c r="X5" s="32" t="s">
        <v>40</v>
      </c>
      <c r="Y5" s="28"/>
      <c r="Z5" s="32" t="s">
        <v>41</v>
      </c>
    </row>
    <row r="6">
      <c r="A6" s="9"/>
      <c r="B6" s="26" t="s">
        <v>42</v>
      </c>
      <c r="C6" s="28"/>
      <c r="D6" s="26"/>
      <c r="E6" s="28"/>
      <c r="F6" s="26" t="s">
        <v>43</v>
      </c>
      <c r="G6" s="28"/>
      <c r="H6" s="26" t="s">
        <v>44</v>
      </c>
      <c r="I6" s="9"/>
      <c r="J6" s="32" t="s">
        <v>45</v>
      </c>
      <c r="K6" s="28"/>
      <c r="L6" s="32" t="s">
        <v>46</v>
      </c>
      <c r="M6" s="28"/>
      <c r="N6" s="32" t="s">
        <v>47</v>
      </c>
      <c r="O6" s="28"/>
      <c r="P6" s="32" t="s">
        <v>48</v>
      </c>
      <c r="Q6" s="28"/>
      <c r="R6" s="32"/>
      <c r="S6" s="28"/>
      <c r="T6" s="32" t="s">
        <v>49</v>
      </c>
      <c r="U6" s="28"/>
      <c r="V6" s="32" t="s">
        <v>50</v>
      </c>
      <c r="W6" s="28"/>
      <c r="X6" s="32" t="s">
        <v>51</v>
      </c>
      <c r="Y6" s="28"/>
      <c r="Z6" s="32" t="s">
        <v>52</v>
      </c>
    </row>
    <row r="7">
      <c r="A7" s="9"/>
      <c r="B7" s="26" t="s">
        <v>53</v>
      </c>
      <c r="C7" s="28"/>
      <c r="D7" s="26"/>
      <c r="E7" s="28"/>
      <c r="F7" s="26"/>
      <c r="G7" s="28"/>
      <c r="H7" s="26" t="s">
        <v>54</v>
      </c>
      <c r="I7" s="9"/>
      <c r="J7" s="32" t="s">
        <v>55</v>
      </c>
      <c r="K7" s="28"/>
      <c r="L7" s="32" t="s">
        <v>56</v>
      </c>
      <c r="M7" s="28"/>
      <c r="N7" s="32" t="s">
        <v>58</v>
      </c>
      <c r="O7" s="28"/>
      <c r="P7" s="32" t="s">
        <v>59</v>
      </c>
      <c r="Q7" s="28"/>
      <c r="R7" s="32"/>
      <c r="S7" s="28"/>
      <c r="T7" s="32" t="s">
        <v>60</v>
      </c>
      <c r="U7" s="28"/>
      <c r="V7" s="32" t="s">
        <v>61</v>
      </c>
      <c r="W7" s="28"/>
      <c r="X7" s="32" t="s">
        <v>62</v>
      </c>
      <c r="Y7" s="28"/>
      <c r="Z7" s="32"/>
    </row>
    <row r="8">
      <c r="A8" s="9"/>
      <c r="B8" s="26" t="s">
        <v>63</v>
      </c>
      <c r="C8" s="28"/>
      <c r="D8" s="26"/>
      <c r="E8" s="28"/>
      <c r="F8" s="26"/>
      <c r="G8" s="28"/>
      <c r="H8" s="26" t="s">
        <v>64</v>
      </c>
      <c r="I8" s="9"/>
      <c r="J8" s="32" t="s">
        <v>65</v>
      </c>
      <c r="K8" s="28"/>
      <c r="L8" s="32" t="s">
        <v>66</v>
      </c>
      <c r="M8" s="28"/>
      <c r="N8" s="32" t="s">
        <v>68</v>
      </c>
      <c r="O8" s="28"/>
      <c r="P8" s="32" t="s">
        <v>70</v>
      </c>
      <c r="Q8" s="28"/>
      <c r="R8" s="32"/>
      <c r="S8" s="28"/>
      <c r="T8" s="32" t="s">
        <v>32</v>
      </c>
      <c r="U8" s="28"/>
      <c r="V8" s="32" t="s">
        <v>71</v>
      </c>
      <c r="W8" s="28"/>
      <c r="X8" s="32" t="s">
        <v>72</v>
      </c>
      <c r="Y8" s="28"/>
      <c r="Z8" s="32"/>
    </row>
    <row r="9">
      <c r="A9" s="9"/>
      <c r="B9" s="26" t="s">
        <v>74</v>
      </c>
      <c r="C9" s="28"/>
      <c r="D9" s="26"/>
      <c r="E9" s="28"/>
      <c r="F9" s="26"/>
      <c r="G9" s="28"/>
      <c r="H9" s="26" t="s">
        <v>75</v>
      </c>
      <c r="I9" s="9"/>
      <c r="J9" s="32" t="s">
        <v>76</v>
      </c>
      <c r="K9" s="28"/>
      <c r="L9" s="32" t="s">
        <v>78</v>
      </c>
      <c r="M9" s="28"/>
      <c r="N9" s="32" t="s">
        <v>79</v>
      </c>
      <c r="O9" s="28"/>
      <c r="P9" s="32" t="s">
        <v>80</v>
      </c>
      <c r="Q9" s="28"/>
      <c r="R9" s="32"/>
      <c r="S9" s="28"/>
      <c r="T9" s="32" t="s">
        <v>83</v>
      </c>
      <c r="U9" s="28"/>
      <c r="V9" s="32" t="s">
        <v>84</v>
      </c>
      <c r="W9" s="28"/>
      <c r="X9" s="32" t="s">
        <v>85</v>
      </c>
      <c r="Y9" s="28"/>
      <c r="Z9" s="32"/>
    </row>
    <row r="10">
      <c r="A10" s="9"/>
      <c r="B10" s="26" t="s">
        <v>86</v>
      </c>
      <c r="C10" s="28"/>
      <c r="D10" s="26"/>
      <c r="E10" s="28"/>
      <c r="F10" s="26"/>
      <c r="G10" s="28"/>
      <c r="H10" s="26" t="s">
        <v>87</v>
      </c>
      <c r="I10" s="9"/>
      <c r="J10" s="32" t="s">
        <v>88</v>
      </c>
      <c r="K10" s="28"/>
      <c r="L10" s="32" t="s">
        <v>90</v>
      </c>
      <c r="M10" s="28"/>
      <c r="N10" s="32" t="s">
        <v>92</v>
      </c>
      <c r="O10" s="28"/>
      <c r="P10" s="32" t="s">
        <v>94</v>
      </c>
      <c r="Q10" s="28"/>
      <c r="R10" s="32"/>
      <c r="S10" s="28"/>
      <c r="T10" s="32" t="s">
        <v>96</v>
      </c>
      <c r="U10" s="28"/>
      <c r="V10" s="32" t="s">
        <v>97</v>
      </c>
      <c r="W10" s="28"/>
      <c r="X10" s="32" t="s">
        <v>98</v>
      </c>
      <c r="Y10" s="28"/>
      <c r="Z10" s="38"/>
    </row>
    <row r="11">
      <c r="A11" s="9"/>
      <c r="B11" s="26"/>
      <c r="C11" s="28"/>
      <c r="D11" s="26"/>
      <c r="E11" s="28" t="s">
        <v>102</v>
      </c>
      <c r="F11" s="26"/>
      <c r="G11" s="28" t="s">
        <v>102</v>
      </c>
      <c r="H11" s="26" t="s">
        <v>103</v>
      </c>
      <c r="I11" s="9"/>
      <c r="J11" s="38"/>
      <c r="K11" s="28"/>
      <c r="L11" s="32" t="s">
        <v>104</v>
      </c>
      <c r="M11" s="28"/>
      <c r="N11" s="32" t="s">
        <v>105</v>
      </c>
      <c r="O11" s="28" t="s">
        <v>102</v>
      </c>
      <c r="P11" s="32" t="s">
        <v>106</v>
      </c>
      <c r="Q11" s="28"/>
      <c r="R11" s="38"/>
      <c r="S11" s="28"/>
      <c r="T11" s="38"/>
      <c r="U11" s="28"/>
      <c r="V11" s="32" t="s">
        <v>107</v>
      </c>
      <c r="W11" s="28"/>
      <c r="X11" s="32" t="s">
        <v>108</v>
      </c>
      <c r="Y11" s="28"/>
      <c r="Z11" s="38"/>
    </row>
    <row r="12">
      <c r="A12" s="9"/>
      <c r="B12" s="26"/>
      <c r="C12" s="28"/>
      <c r="D12" s="26"/>
      <c r="E12" s="28"/>
      <c r="F12" s="26"/>
      <c r="G12" s="28"/>
      <c r="H12" s="26"/>
      <c r="I12" s="9"/>
      <c r="J12" s="38"/>
      <c r="K12" s="28"/>
      <c r="L12" s="32" t="s">
        <v>109</v>
      </c>
      <c r="M12" s="28"/>
      <c r="N12" s="32" t="s">
        <v>110</v>
      </c>
      <c r="O12" s="28"/>
      <c r="P12" s="32" t="s">
        <v>111</v>
      </c>
      <c r="Q12" s="28"/>
      <c r="R12" s="38"/>
      <c r="S12" s="28"/>
      <c r="T12" s="38"/>
      <c r="U12" s="28"/>
      <c r="V12" s="32" t="s">
        <v>112</v>
      </c>
      <c r="W12" s="28"/>
      <c r="X12" s="32" t="s">
        <v>113</v>
      </c>
      <c r="Y12" s="28"/>
      <c r="Z12" s="38"/>
    </row>
    <row r="13">
      <c r="A13" s="9"/>
      <c r="B13" s="26"/>
      <c r="C13" s="28"/>
      <c r="D13" s="26"/>
      <c r="E13" s="28"/>
      <c r="F13" s="26"/>
      <c r="G13" s="28"/>
      <c r="H13" s="26"/>
      <c r="I13" s="9"/>
      <c r="J13" s="38"/>
      <c r="K13" s="28"/>
      <c r="L13" s="32" t="s">
        <v>114</v>
      </c>
      <c r="M13" s="28"/>
      <c r="N13" s="32" t="s">
        <v>115</v>
      </c>
      <c r="O13" s="28"/>
      <c r="P13" s="32" t="s">
        <v>116</v>
      </c>
      <c r="Q13" s="28"/>
      <c r="R13" s="38"/>
      <c r="S13" s="28"/>
      <c r="T13" s="38"/>
      <c r="U13" s="28"/>
      <c r="V13" s="32" t="s">
        <v>117</v>
      </c>
      <c r="W13" s="28"/>
      <c r="X13" s="38"/>
      <c r="Y13" s="28"/>
      <c r="Z13" s="38"/>
    </row>
    <row r="14">
      <c r="A14" s="9"/>
      <c r="B14" s="26"/>
      <c r="C14" s="28"/>
      <c r="D14" s="26"/>
      <c r="E14" s="28"/>
      <c r="F14" s="26"/>
      <c r="G14" s="28"/>
      <c r="H14" s="26"/>
      <c r="I14" s="9"/>
      <c r="J14" s="38"/>
      <c r="K14" s="28"/>
      <c r="L14" s="32" t="s">
        <v>118</v>
      </c>
      <c r="M14" s="28"/>
      <c r="N14" s="38"/>
      <c r="O14" s="28"/>
      <c r="P14" s="32" t="s">
        <v>120</v>
      </c>
      <c r="Q14" s="28"/>
      <c r="R14" s="38"/>
      <c r="S14" s="28"/>
      <c r="T14" s="38"/>
      <c r="U14" s="28"/>
      <c r="V14" s="32" t="s">
        <v>121</v>
      </c>
      <c r="W14" s="28"/>
      <c r="X14" s="38"/>
      <c r="Y14" s="28"/>
      <c r="Z14" s="38"/>
    </row>
    <row r="15">
      <c r="A15" s="9"/>
      <c r="B15" s="26"/>
      <c r="C15" s="28"/>
      <c r="D15" s="26"/>
      <c r="E15" s="28"/>
      <c r="F15" s="26"/>
      <c r="G15" s="28"/>
      <c r="H15" s="26"/>
      <c r="I15" s="9"/>
      <c r="J15" s="38"/>
      <c r="K15" s="28"/>
      <c r="L15" s="38"/>
      <c r="M15" s="28"/>
      <c r="N15" s="38"/>
      <c r="O15" s="28"/>
      <c r="P15" s="32" t="s">
        <v>122</v>
      </c>
      <c r="Q15" s="28"/>
      <c r="R15" s="38"/>
      <c r="S15" s="28"/>
      <c r="T15" s="38"/>
      <c r="U15" s="28"/>
      <c r="V15" s="32" t="s">
        <v>123</v>
      </c>
      <c r="W15" s="28"/>
      <c r="X15" s="38"/>
      <c r="Y15" s="28"/>
      <c r="Z15" s="38"/>
    </row>
    <row r="16">
      <c r="A16" s="9"/>
      <c r="B16" s="26"/>
      <c r="C16" s="28"/>
      <c r="D16" s="26"/>
      <c r="E16" s="28"/>
      <c r="F16" s="26"/>
      <c r="G16" s="28"/>
      <c r="H16" s="26"/>
      <c r="I16" s="9"/>
      <c r="J16" s="38"/>
      <c r="K16" s="28"/>
      <c r="L16" s="38"/>
      <c r="M16" s="28"/>
      <c r="N16" s="38"/>
      <c r="O16" s="28"/>
      <c r="P16" s="32" t="s">
        <v>124</v>
      </c>
      <c r="Q16" s="28"/>
      <c r="R16" s="38"/>
      <c r="S16" s="28"/>
      <c r="T16" s="38"/>
      <c r="U16" s="28"/>
      <c r="V16" s="32" t="s">
        <v>125</v>
      </c>
      <c r="W16" s="28"/>
      <c r="X16" s="38"/>
      <c r="Y16" s="28"/>
      <c r="Z16" s="38"/>
    </row>
    <row r="17">
      <c r="A17" s="9"/>
      <c r="B17" s="26"/>
      <c r="C17" s="28"/>
      <c r="D17" s="26"/>
      <c r="E17" s="28"/>
      <c r="F17" s="26"/>
      <c r="G17" s="28"/>
      <c r="H17" s="26"/>
      <c r="I17" s="9"/>
      <c r="J17" s="38"/>
      <c r="K17" s="28"/>
      <c r="L17" s="38"/>
      <c r="M17" s="28"/>
      <c r="N17" s="38"/>
      <c r="O17" s="28"/>
      <c r="P17" s="32" t="s">
        <v>126</v>
      </c>
      <c r="Q17" s="28"/>
      <c r="R17" s="38"/>
      <c r="S17" s="28"/>
      <c r="T17" s="38"/>
      <c r="U17" s="28"/>
      <c r="V17" s="38"/>
      <c r="W17" s="28"/>
      <c r="X17" s="38"/>
      <c r="Y17" s="28"/>
      <c r="Z17" s="38"/>
    </row>
    <row r="18">
      <c r="A18" s="9"/>
      <c r="B18" s="26"/>
      <c r="C18" s="28"/>
      <c r="D18" s="26"/>
      <c r="E18" s="28"/>
      <c r="F18" s="26"/>
      <c r="G18" s="28"/>
      <c r="H18" s="26"/>
      <c r="I18" s="9"/>
      <c r="J18" s="38"/>
      <c r="K18" s="28"/>
      <c r="L18" s="38"/>
      <c r="M18" s="28"/>
      <c r="N18" s="38"/>
      <c r="O18" s="28"/>
      <c r="P18" s="32" t="s">
        <v>128</v>
      </c>
      <c r="Q18" s="28"/>
      <c r="R18" s="38"/>
      <c r="S18" s="28"/>
      <c r="T18" s="38"/>
      <c r="U18" s="28"/>
      <c r="V18" s="38"/>
      <c r="W18" s="28"/>
      <c r="X18" s="38"/>
      <c r="Y18" s="28"/>
      <c r="Z18" s="38"/>
    </row>
    <row r="19">
      <c r="A19" s="9"/>
      <c r="B19" s="26"/>
      <c r="C19" s="28"/>
      <c r="D19" s="26"/>
      <c r="E19" s="28"/>
      <c r="F19" s="26"/>
      <c r="G19" s="28"/>
      <c r="H19" s="26"/>
      <c r="I19" s="9"/>
      <c r="J19" s="38"/>
      <c r="K19" s="28"/>
      <c r="L19" s="38"/>
      <c r="M19" s="28"/>
      <c r="N19" s="38"/>
      <c r="O19" s="28"/>
      <c r="P19" s="32" t="s">
        <v>130</v>
      </c>
      <c r="Q19" s="28"/>
      <c r="R19" s="38"/>
      <c r="S19" s="28"/>
      <c r="T19" s="38"/>
      <c r="U19" s="28"/>
      <c r="V19" s="38"/>
      <c r="W19" s="28"/>
      <c r="X19" s="38"/>
      <c r="Y19" s="28"/>
      <c r="Z19" s="38"/>
    </row>
    <row r="20">
      <c r="A20" s="9"/>
      <c r="B20" s="26"/>
      <c r="C20" s="28"/>
      <c r="D20" s="26"/>
      <c r="E20" s="28"/>
      <c r="F20" s="26"/>
      <c r="G20" s="28"/>
      <c r="H20" s="26"/>
      <c r="I20" s="9"/>
      <c r="J20" s="38"/>
      <c r="K20" s="28"/>
      <c r="L20" s="38"/>
      <c r="M20" s="28"/>
      <c r="N20" s="38"/>
      <c r="O20" s="28"/>
      <c r="P20" s="32" t="s">
        <v>132</v>
      </c>
      <c r="Q20" s="28"/>
      <c r="R20" s="38"/>
      <c r="S20" s="28"/>
      <c r="T20" s="38"/>
      <c r="U20" s="28"/>
      <c r="V20" s="38"/>
      <c r="W20" s="28"/>
      <c r="X20" s="38"/>
      <c r="Y20" s="28"/>
      <c r="Z20" s="38"/>
    </row>
    <row r="21">
      <c r="A21" s="9"/>
      <c r="B21" s="26"/>
      <c r="C21" s="28"/>
      <c r="D21" s="26"/>
      <c r="E21" s="28"/>
      <c r="F21" s="26"/>
      <c r="G21" s="28"/>
      <c r="H21" s="26"/>
      <c r="I21" s="9"/>
      <c r="J21" s="38"/>
      <c r="K21" s="28"/>
      <c r="L21" s="38"/>
      <c r="M21" s="28"/>
      <c r="N21" s="38"/>
      <c r="O21" s="28"/>
      <c r="P21" s="32" t="s">
        <v>134</v>
      </c>
      <c r="Q21" s="28"/>
      <c r="R21" s="38"/>
      <c r="S21" s="28"/>
      <c r="T21" s="38"/>
      <c r="U21" s="28"/>
      <c r="V21" s="38"/>
      <c r="W21" s="28"/>
      <c r="X21" s="38"/>
      <c r="Y21" s="28"/>
      <c r="Z21" s="38"/>
    </row>
    <row r="22">
      <c r="A22" s="9"/>
      <c r="B22" s="26"/>
      <c r="C22" s="28"/>
      <c r="D22" s="26"/>
      <c r="E22" s="28"/>
      <c r="F22" s="26"/>
      <c r="G22" s="28"/>
      <c r="H22" s="26"/>
      <c r="I22" s="9"/>
      <c r="J22" s="38"/>
      <c r="K22" s="28"/>
      <c r="L22" s="38"/>
      <c r="M22" s="28"/>
      <c r="N22" s="38"/>
      <c r="O22" s="28"/>
      <c r="P22" s="32" t="s">
        <v>136</v>
      </c>
      <c r="Q22" s="28"/>
      <c r="R22" s="38"/>
      <c r="S22" s="28"/>
      <c r="T22" s="38"/>
      <c r="U22" s="28"/>
      <c r="V22" s="38"/>
      <c r="W22" s="28"/>
      <c r="X22" s="38"/>
      <c r="Y22" s="28"/>
      <c r="Z22" s="38"/>
    </row>
    <row r="23">
      <c r="A23" s="9"/>
      <c r="B23" s="26"/>
      <c r="C23" s="28"/>
      <c r="D23" s="26"/>
      <c r="E23" s="28"/>
      <c r="F23" s="26"/>
      <c r="G23" s="28"/>
      <c r="H23" s="26"/>
      <c r="I23" s="9"/>
      <c r="J23" s="38"/>
      <c r="K23" s="28"/>
      <c r="L23" s="38"/>
      <c r="M23" s="28"/>
      <c r="N23" s="38"/>
      <c r="O23" s="28"/>
      <c r="P23" s="32" t="s">
        <v>139</v>
      </c>
      <c r="Q23" s="28"/>
      <c r="R23" s="38"/>
      <c r="S23" s="28"/>
      <c r="T23" s="38"/>
      <c r="U23" s="28"/>
      <c r="V23" s="38"/>
      <c r="W23" s="28"/>
      <c r="X23" s="38"/>
      <c r="Y23" s="28"/>
      <c r="Z23" s="38"/>
    </row>
    <row r="24">
      <c r="A24" s="9"/>
      <c r="B24" s="26"/>
      <c r="C24" s="28"/>
      <c r="D24" s="26"/>
      <c r="E24" s="28"/>
      <c r="F24" s="26"/>
      <c r="G24" s="28"/>
      <c r="H24" s="26"/>
      <c r="I24" s="9"/>
      <c r="J24" s="38"/>
      <c r="K24" s="28"/>
      <c r="L24" s="38"/>
      <c r="M24" s="28"/>
      <c r="N24" s="38"/>
      <c r="O24" s="28"/>
      <c r="P24" s="32" t="s">
        <v>142</v>
      </c>
      <c r="Q24" s="28"/>
      <c r="R24" s="38"/>
      <c r="S24" s="28"/>
      <c r="T24" s="38"/>
      <c r="U24" s="28"/>
      <c r="V24" s="38"/>
      <c r="W24" s="28"/>
      <c r="X24" s="38"/>
      <c r="Y24" s="28"/>
      <c r="Z24" s="38"/>
    </row>
    <row r="25">
      <c r="A25" s="9"/>
      <c r="B25" s="26"/>
      <c r="C25" s="28"/>
      <c r="D25" s="26"/>
      <c r="E25" s="28"/>
      <c r="F25" s="26"/>
      <c r="G25" s="28"/>
      <c r="H25" s="26"/>
      <c r="I25" s="9"/>
      <c r="J25" s="38"/>
      <c r="K25" s="28"/>
      <c r="L25" s="38"/>
      <c r="M25" s="28"/>
      <c r="N25" s="38"/>
      <c r="O25" s="28"/>
      <c r="P25" s="32" t="s">
        <v>143</v>
      </c>
      <c r="Q25" s="28"/>
      <c r="R25" s="38"/>
      <c r="S25" s="28"/>
      <c r="T25" s="38"/>
      <c r="U25" s="28"/>
      <c r="V25" s="38"/>
      <c r="W25" s="28"/>
      <c r="X25" s="38"/>
      <c r="Y25" s="28"/>
      <c r="Z25" s="38"/>
    </row>
    <row r="26">
      <c r="A26" s="9"/>
      <c r="B26" s="26"/>
      <c r="C26" s="28"/>
      <c r="D26" s="26"/>
      <c r="E26" s="28"/>
      <c r="F26" s="26"/>
      <c r="G26" s="28"/>
      <c r="H26" s="26"/>
      <c r="I26" s="9"/>
      <c r="J26" s="38"/>
      <c r="K26" s="28"/>
      <c r="L26" s="38"/>
      <c r="M26" s="28"/>
      <c r="N26" s="38"/>
      <c r="O26" s="28"/>
      <c r="P26" s="38"/>
      <c r="Q26" s="28"/>
      <c r="R26" s="38"/>
      <c r="S26" s="28"/>
      <c r="T26" s="38"/>
      <c r="U26" s="28"/>
      <c r="V26" s="38"/>
      <c r="W26" s="28"/>
      <c r="X26" s="38"/>
      <c r="Y26" s="28"/>
      <c r="Z26" s="38"/>
    </row>
    <row r="27">
      <c r="A27" s="9"/>
      <c r="B27" s="26"/>
      <c r="C27" s="28"/>
      <c r="D27" s="26"/>
      <c r="E27" s="28"/>
      <c r="F27" s="26"/>
      <c r="G27" s="28"/>
      <c r="H27" s="26"/>
      <c r="I27" s="9"/>
      <c r="J27" s="38"/>
      <c r="K27" s="28"/>
      <c r="L27" s="38"/>
      <c r="M27" s="28"/>
      <c r="N27" s="38"/>
      <c r="O27" s="28"/>
      <c r="P27" s="38"/>
      <c r="Q27" s="28"/>
      <c r="R27" s="38"/>
      <c r="S27" s="28"/>
      <c r="T27" s="38"/>
      <c r="U27" s="28"/>
      <c r="V27" s="38"/>
      <c r="W27" s="28"/>
      <c r="X27" s="38"/>
      <c r="Y27" s="28"/>
      <c r="Z27" s="38"/>
    </row>
    <row r="28">
      <c r="A28" s="9"/>
      <c r="B28" s="26"/>
      <c r="C28" s="28"/>
      <c r="D28" s="26"/>
      <c r="E28" s="28"/>
      <c r="F28" s="26"/>
      <c r="G28" s="28"/>
      <c r="H28" s="26"/>
      <c r="I28" s="9"/>
      <c r="J28" s="38"/>
      <c r="K28" s="28"/>
      <c r="L28" s="38"/>
      <c r="M28" s="28"/>
      <c r="N28" s="38"/>
      <c r="O28" s="28"/>
      <c r="P28" s="38"/>
      <c r="Q28" s="28"/>
      <c r="R28" s="38"/>
      <c r="S28" s="28"/>
      <c r="T28" s="38"/>
      <c r="U28" s="28"/>
      <c r="V28" s="38"/>
      <c r="W28" s="28"/>
      <c r="X28" s="38"/>
      <c r="Y28" s="28"/>
      <c r="Z28" s="38"/>
    </row>
    <row r="29">
      <c r="A29" s="9"/>
      <c r="B29" s="26"/>
      <c r="C29" s="28"/>
      <c r="D29" s="26"/>
      <c r="E29" s="28"/>
      <c r="F29" s="26"/>
      <c r="G29" s="28"/>
      <c r="H29" s="26"/>
      <c r="I29" s="9"/>
      <c r="J29" s="38"/>
      <c r="K29" s="28"/>
      <c r="L29" s="38"/>
      <c r="M29" s="28"/>
      <c r="N29" s="38"/>
      <c r="O29" s="28"/>
      <c r="P29" s="38"/>
      <c r="Q29" s="28"/>
      <c r="R29" s="38"/>
      <c r="S29" s="28"/>
      <c r="T29" s="38"/>
      <c r="U29" s="28"/>
      <c r="V29" s="38"/>
      <c r="W29" s="28"/>
      <c r="X29" s="38"/>
      <c r="Y29" s="28"/>
      <c r="Z29" s="38"/>
    </row>
    <row r="30">
      <c r="A30" s="9"/>
      <c r="B30" s="26"/>
      <c r="C30" s="28"/>
      <c r="D30" s="26"/>
      <c r="E30" s="28"/>
      <c r="F30" s="26"/>
      <c r="G30" s="28"/>
      <c r="H30" s="26"/>
      <c r="I30" s="9"/>
      <c r="J30" s="38"/>
      <c r="K30" s="28"/>
      <c r="L30" s="38"/>
      <c r="M30" s="28"/>
      <c r="N30" s="38"/>
      <c r="O30" s="28"/>
      <c r="P30" s="38"/>
      <c r="Q30" s="28"/>
      <c r="R30" s="38"/>
      <c r="S30" s="28"/>
      <c r="T30" s="38"/>
      <c r="U30" s="28"/>
      <c r="V30" s="38"/>
      <c r="W30" s="28"/>
      <c r="X30" s="38"/>
      <c r="Y30" s="28"/>
      <c r="Z30" s="38"/>
    </row>
    <row r="31">
      <c r="A31" s="9"/>
      <c r="B31" s="26"/>
      <c r="C31" s="28"/>
      <c r="D31" s="26"/>
      <c r="E31" s="28"/>
      <c r="F31" s="26"/>
      <c r="G31" s="28"/>
      <c r="H31" s="26"/>
      <c r="I31" s="9"/>
      <c r="J31" s="38"/>
      <c r="K31" s="28"/>
      <c r="L31" s="38"/>
      <c r="M31" s="28"/>
      <c r="N31" s="38"/>
      <c r="O31" s="28"/>
      <c r="P31" s="38"/>
      <c r="Q31" s="28"/>
      <c r="R31" s="38"/>
      <c r="S31" s="28"/>
      <c r="T31" s="38"/>
      <c r="U31" s="28"/>
      <c r="V31" s="38"/>
      <c r="W31" s="28"/>
      <c r="X31" s="38"/>
      <c r="Y31" s="28"/>
      <c r="Z31" s="38"/>
    </row>
    <row r="32">
      <c r="A32" s="9"/>
      <c r="B32" s="26"/>
      <c r="C32" s="28"/>
      <c r="D32" s="26"/>
      <c r="E32" s="28"/>
      <c r="F32" s="26"/>
      <c r="G32" s="28"/>
      <c r="H32" s="26"/>
      <c r="I32" s="9"/>
      <c r="J32" s="38"/>
      <c r="K32" s="28"/>
      <c r="L32" s="38"/>
      <c r="M32" s="28"/>
      <c r="N32" s="38"/>
      <c r="O32" s="28"/>
      <c r="P32" s="38"/>
      <c r="Q32" s="28"/>
      <c r="R32" s="38"/>
      <c r="S32" s="28"/>
      <c r="T32" s="38"/>
      <c r="U32" s="28"/>
      <c r="V32" s="38"/>
      <c r="W32" s="28"/>
      <c r="X32" s="38"/>
      <c r="Y32" s="28"/>
      <c r="Z32" s="38"/>
    </row>
    <row r="33">
      <c r="A33" s="9"/>
      <c r="B33" s="26"/>
      <c r="C33" s="28"/>
      <c r="D33" s="26"/>
      <c r="E33" s="28"/>
      <c r="F33" s="26"/>
      <c r="G33" s="28"/>
      <c r="H33" s="26"/>
      <c r="I33" s="9"/>
      <c r="J33" s="38"/>
      <c r="K33" s="28"/>
      <c r="L33" s="38"/>
      <c r="M33" s="28"/>
      <c r="N33" s="38"/>
      <c r="O33" s="28"/>
      <c r="P33" s="38"/>
      <c r="Q33" s="28"/>
      <c r="R33" s="38"/>
      <c r="S33" s="28"/>
      <c r="T33" s="38"/>
      <c r="U33" s="28"/>
      <c r="V33" s="38"/>
      <c r="W33" s="28"/>
      <c r="X33" s="38"/>
      <c r="Y33" s="28"/>
      <c r="Z33" s="38"/>
    </row>
    <row r="34">
      <c r="A34" s="9"/>
      <c r="B34" s="26"/>
      <c r="C34" s="28"/>
      <c r="D34" s="26"/>
      <c r="E34" s="28"/>
      <c r="F34" s="26"/>
      <c r="G34" s="28"/>
      <c r="H34" s="26"/>
      <c r="I34" s="9"/>
      <c r="J34" s="38"/>
      <c r="K34" s="28"/>
      <c r="L34" s="38"/>
      <c r="M34" s="28"/>
      <c r="N34" s="38"/>
      <c r="O34" s="28"/>
      <c r="P34" s="38"/>
      <c r="Q34" s="28"/>
      <c r="R34" s="38"/>
      <c r="S34" s="28"/>
      <c r="T34" s="38"/>
      <c r="U34" s="28"/>
      <c r="V34" s="38"/>
      <c r="W34" s="28"/>
      <c r="X34" s="38"/>
      <c r="Y34" s="28"/>
      <c r="Z34" s="38"/>
    </row>
    <row r="35">
      <c r="A35" s="9"/>
      <c r="B35" s="26"/>
      <c r="C35" s="28"/>
      <c r="D35" s="26"/>
      <c r="E35" s="28"/>
      <c r="F35" s="26"/>
      <c r="G35" s="28"/>
      <c r="H35" s="26"/>
      <c r="I35" s="9"/>
      <c r="J35" s="38"/>
      <c r="K35" s="28"/>
      <c r="L35" s="38"/>
      <c r="M35" s="28"/>
      <c r="N35" s="38"/>
      <c r="O35" s="28"/>
      <c r="P35" s="38"/>
      <c r="Q35" s="28"/>
      <c r="R35" s="38"/>
      <c r="S35" s="28"/>
      <c r="T35" s="38"/>
      <c r="U35" s="28"/>
      <c r="V35" s="38"/>
      <c r="W35" s="28"/>
      <c r="X35" s="38"/>
      <c r="Y35" s="28"/>
      <c r="Z35" s="38"/>
    </row>
    <row r="36">
      <c r="A36" s="9"/>
      <c r="B36" s="26"/>
      <c r="C36" s="28"/>
      <c r="D36" s="26"/>
      <c r="E36" s="28"/>
      <c r="F36" s="26"/>
      <c r="G36" s="28"/>
      <c r="H36" s="26"/>
      <c r="I36" s="9"/>
      <c r="J36" s="38"/>
      <c r="K36" s="28"/>
      <c r="L36" s="38"/>
      <c r="M36" s="28"/>
      <c r="N36" s="38"/>
      <c r="O36" s="28"/>
      <c r="P36" s="38"/>
      <c r="Q36" s="28"/>
      <c r="R36" s="38"/>
      <c r="S36" s="28"/>
      <c r="T36" s="38"/>
      <c r="U36" s="28"/>
      <c r="V36" s="38"/>
      <c r="W36" s="28"/>
      <c r="X36" s="38"/>
      <c r="Y36" s="28"/>
      <c r="Z36" s="38"/>
    </row>
    <row r="37">
      <c r="A37" s="9"/>
      <c r="B37" s="26"/>
      <c r="C37" s="28"/>
      <c r="D37" s="26"/>
      <c r="E37" s="28"/>
      <c r="F37" s="26"/>
      <c r="G37" s="28"/>
      <c r="H37" s="26"/>
      <c r="I37" s="9"/>
      <c r="J37" s="38"/>
      <c r="K37" s="28"/>
      <c r="L37" s="38"/>
      <c r="M37" s="28"/>
      <c r="N37" s="38"/>
      <c r="O37" s="28"/>
      <c r="P37" s="38"/>
      <c r="Q37" s="28"/>
      <c r="R37" s="38"/>
      <c r="S37" s="28"/>
      <c r="T37" s="38"/>
      <c r="U37" s="28"/>
      <c r="V37" s="38"/>
      <c r="W37" s="28"/>
      <c r="X37" s="38"/>
      <c r="Y37" s="28"/>
      <c r="Z37" s="38"/>
    </row>
    <row r="38">
      <c r="A38" s="9"/>
      <c r="B38" s="26"/>
      <c r="C38" s="28"/>
      <c r="D38" s="26"/>
      <c r="E38" s="28"/>
      <c r="F38" s="26"/>
      <c r="G38" s="28"/>
      <c r="H38" s="26"/>
      <c r="I38" s="9"/>
      <c r="J38" s="38"/>
      <c r="K38" s="28"/>
      <c r="L38" s="38"/>
      <c r="M38" s="28"/>
      <c r="N38" s="38"/>
      <c r="O38" s="28"/>
      <c r="P38" s="38"/>
      <c r="Q38" s="28"/>
      <c r="R38" s="38"/>
      <c r="S38" s="28"/>
      <c r="T38" s="38"/>
      <c r="U38" s="28"/>
      <c r="V38" s="38"/>
      <c r="W38" s="28"/>
      <c r="X38" s="38"/>
      <c r="Y38" s="28"/>
      <c r="Z38" s="38"/>
    </row>
    <row r="39">
      <c r="A39" s="9"/>
      <c r="B39" s="26"/>
      <c r="C39" s="28"/>
      <c r="D39" s="26"/>
      <c r="E39" s="28"/>
      <c r="F39" s="26"/>
      <c r="G39" s="28"/>
      <c r="H39" s="26"/>
      <c r="I39" s="9"/>
      <c r="J39" s="38"/>
      <c r="K39" s="28"/>
      <c r="L39" s="38"/>
      <c r="M39" s="28"/>
      <c r="N39" s="38"/>
      <c r="O39" s="28"/>
      <c r="P39" s="38"/>
      <c r="Q39" s="28"/>
      <c r="R39" s="38"/>
      <c r="S39" s="28"/>
      <c r="T39" s="38"/>
      <c r="U39" s="28"/>
      <c r="V39" s="38"/>
      <c r="W39" s="28"/>
      <c r="X39" s="38"/>
      <c r="Y39" s="28"/>
      <c r="Z39" s="38"/>
    </row>
    <row r="40">
      <c r="A40" s="9"/>
      <c r="B40" s="26"/>
      <c r="C40" s="28"/>
      <c r="D40" s="26"/>
      <c r="E40" s="28"/>
      <c r="F40" s="26"/>
      <c r="G40" s="28"/>
      <c r="H40" s="26"/>
      <c r="I40" s="9"/>
      <c r="J40" s="38"/>
      <c r="K40" s="28"/>
      <c r="L40" s="38"/>
      <c r="M40" s="28"/>
      <c r="N40" s="38"/>
      <c r="O40" s="28"/>
      <c r="P40" s="38"/>
      <c r="Q40" s="28"/>
      <c r="R40" s="38"/>
      <c r="S40" s="28"/>
      <c r="T40" s="38"/>
      <c r="U40" s="28"/>
      <c r="V40" s="38"/>
      <c r="W40" s="28"/>
      <c r="X40" s="38"/>
      <c r="Y40" s="28"/>
      <c r="Z40" s="38"/>
    </row>
    <row r="41">
      <c r="A41" s="9"/>
      <c r="B41" s="26"/>
      <c r="C41" s="28"/>
      <c r="D41" s="26"/>
      <c r="E41" s="28"/>
      <c r="F41" s="26"/>
      <c r="G41" s="28"/>
      <c r="H41" s="26"/>
      <c r="I41" s="9"/>
      <c r="J41" s="38"/>
      <c r="K41" s="28"/>
      <c r="L41" s="38"/>
      <c r="M41" s="28"/>
      <c r="N41" s="38"/>
      <c r="O41" s="28"/>
      <c r="P41" s="38"/>
      <c r="Q41" s="28"/>
      <c r="R41" s="38"/>
      <c r="S41" s="28"/>
      <c r="T41" s="38"/>
      <c r="U41" s="28"/>
      <c r="V41" s="38"/>
      <c r="W41" s="28"/>
      <c r="X41" s="38"/>
      <c r="Y41" s="28"/>
      <c r="Z41" s="38"/>
    </row>
    <row r="42">
      <c r="A42" s="9"/>
      <c r="B42" s="26"/>
      <c r="C42" s="28"/>
      <c r="D42" s="26"/>
      <c r="E42" s="28"/>
      <c r="F42" s="26"/>
      <c r="G42" s="28"/>
      <c r="H42" s="26"/>
      <c r="I42" s="9"/>
      <c r="J42" s="38"/>
      <c r="K42" s="28"/>
      <c r="L42" s="38"/>
      <c r="M42" s="28"/>
      <c r="N42" s="38"/>
      <c r="O42" s="28"/>
      <c r="P42" s="38"/>
      <c r="Q42" s="28"/>
      <c r="R42" s="38"/>
      <c r="S42" s="28"/>
      <c r="T42" s="38"/>
      <c r="U42" s="28"/>
      <c r="V42" s="38"/>
      <c r="W42" s="28"/>
      <c r="X42" s="38"/>
      <c r="Y42" s="28"/>
      <c r="Z42" s="38"/>
    </row>
    <row r="43">
      <c r="A43" s="9"/>
      <c r="B43" s="26"/>
      <c r="C43" s="28"/>
      <c r="D43" s="26"/>
      <c r="E43" s="28"/>
      <c r="F43" s="26"/>
      <c r="G43" s="28"/>
      <c r="H43" s="26"/>
      <c r="I43" s="9"/>
      <c r="J43" s="38"/>
      <c r="K43" s="28"/>
      <c r="L43" s="38"/>
      <c r="M43" s="28"/>
      <c r="N43" s="38"/>
      <c r="O43" s="28"/>
      <c r="P43" s="38"/>
      <c r="Q43" s="28"/>
      <c r="R43" s="38"/>
      <c r="S43" s="28"/>
      <c r="T43" s="38"/>
      <c r="U43" s="28"/>
      <c r="V43" s="38"/>
      <c r="W43" s="28"/>
      <c r="X43" s="38"/>
      <c r="Y43" s="28"/>
      <c r="Z43" s="38"/>
    </row>
    <row r="44">
      <c r="A44" s="9"/>
      <c r="B44" s="26"/>
      <c r="C44" s="28"/>
      <c r="D44" s="26"/>
      <c r="E44" s="28"/>
      <c r="F44" s="26"/>
      <c r="G44" s="28"/>
      <c r="H44" s="26"/>
      <c r="I44" s="9"/>
      <c r="J44" s="38"/>
      <c r="K44" s="28"/>
      <c r="L44" s="38"/>
      <c r="M44" s="28"/>
      <c r="N44" s="38"/>
      <c r="O44" s="28"/>
      <c r="P44" s="38"/>
      <c r="Q44" s="28"/>
      <c r="R44" s="38"/>
      <c r="S44" s="28"/>
      <c r="T44" s="38"/>
      <c r="U44" s="28"/>
      <c r="V44" s="38"/>
      <c r="W44" s="28"/>
      <c r="X44" s="38"/>
      <c r="Y44" s="28"/>
      <c r="Z44" s="38"/>
    </row>
    <row r="45">
      <c r="A45" s="9"/>
      <c r="B45" s="26"/>
      <c r="C45" s="28"/>
      <c r="D45" s="26"/>
      <c r="E45" s="28"/>
      <c r="F45" s="26"/>
      <c r="G45" s="28"/>
      <c r="H45" s="26"/>
      <c r="I45" s="9"/>
      <c r="J45" s="38"/>
      <c r="K45" s="28"/>
      <c r="L45" s="38"/>
      <c r="M45" s="28"/>
      <c r="N45" s="38"/>
      <c r="O45" s="28"/>
      <c r="P45" s="38"/>
      <c r="Q45" s="28"/>
      <c r="R45" s="38"/>
      <c r="S45" s="28"/>
      <c r="T45" s="38"/>
      <c r="U45" s="28"/>
      <c r="V45" s="38"/>
      <c r="W45" s="28"/>
      <c r="X45" s="38"/>
      <c r="Y45" s="28"/>
      <c r="Z45" s="38"/>
    </row>
    <row r="46">
      <c r="A46" s="9"/>
      <c r="B46" s="26"/>
      <c r="C46" s="28"/>
      <c r="D46" s="26"/>
      <c r="E46" s="28"/>
      <c r="F46" s="26"/>
      <c r="G46" s="28"/>
      <c r="H46" s="26"/>
      <c r="I46" s="9"/>
      <c r="J46" s="38"/>
      <c r="K46" s="28"/>
      <c r="L46" s="38"/>
      <c r="M46" s="28"/>
      <c r="N46" s="38"/>
      <c r="O46" s="28"/>
      <c r="P46" s="38"/>
      <c r="Q46" s="28"/>
      <c r="R46" s="38"/>
      <c r="S46" s="28"/>
      <c r="T46" s="38"/>
      <c r="U46" s="28"/>
      <c r="V46" s="38"/>
      <c r="W46" s="28"/>
      <c r="X46" s="38"/>
      <c r="Y46" s="28"/>
      <c r="Z46" s="38"/>
    </row>
    <row r="47">
      <c r="A47" s="9"/>
      <c r="B47" s="26"/>
      <c r="C47" s="28"/>
      <c r="D47" s="26"/>
      <c r="E47" s="28"/>
      <c r="F47" s="26"/>
      <c r="G47" s="28"/>
      <c r="H47" s="26"/>
      <c r="I47" s="9"/>
      <c r="J47" s="38"/>
      <c r="K47" s="28"/>
      <c r="L47" s="38"/>
      <c r="M47" s="28"/>
      <c r="N47" s="38"/>
      <c r="O47" s="28"/>
      <c r="P47" s="38"/>
      <c r="Q47" s="28"/>
      <c r="R47" s="38"/>
      <c r="S47" s="28"/>
      <c r="T47" s="38"/>
      <c r="U47" s="28"/>
      <c r="V47" s="38"/>
      <c r="W47" s="28"/>
      <c r="X47" s="38"/>
      <c r="Y47" s="28"/>
      <c r="Z47" s="38"/>
    </row>
    <row r="48">
      <c r="A48" s="9"/>
      <c r="B48" s="26"/>
      <c r="C48" s="28"/>
      <c r="D48" s="26"/>
      <c r="E48" s="28"/>
      <c r="F48" s="26"/>
      <c r="G48" s="28"/>
      <c r="H48" s="26"/>
      <c r="I48" s="9"/>
      <c r="J48" s="38"/>
      <c r="K48" s="28"/>
      <c r="L48" s="38"/>
      <c r="M48" s="28"/>
      <c r="N48" s="38"/>
      <c r="O48" s="28"/>
      <c r="P48" s="38"/>
      <c r="Q48" s="28"/>
      <c r="R48" s="38"/>
      <c r="S48" s="28"/>
      <c r="T48" s="38"/>
      <c r="U48" s="28"/>
      <c r="V48" s="38"/>
      <c r="W48" s="28"/>
      <c r="X48" s="38"/>
      <c r="Y48" s="28"/>
      <c r="Z48" s="38"/>
    </row>
    <row r="49">
      <c r="A49" s="9"/>
      <c r="B49" s="26"/>
      <c r="C49" s="28"/>
      <c r="D49" s="26"/>
      <c r="E49" s="28"/>
      <c r="F49" s="26"/>
      <c r="G49" s="28"/>
      <c r="H49" s="26"/>
      <c r="I49" s="9"/>
      <c r="J49" s="38"/>
      <c r="K49" s="28"/>
      <c r="L49" s="38"/>
      <c r="M49" s="28"/>
      <c r="N49" s="38"/>
      <c r="O49" s="28"/>
      <c r="P49" s="38"/>
      <c r="Q49" s="28"/>
      <c r="R49" s="38"/>
      <c r="S49" s="28"/>
      <c r="T49" s="38"/>
      <c r="U49" s="28"/>
      <c r="V49" s="38"/>
      <c r="W49" s="28"/>
      <c r="X49" s="38"/>
      <c r="Y49" s="28"/>
      <c r="Z49" s="38"/>
    </row>
    <row r="50">
      <c r="A50" s="9"/>
      <c r="B50" s="26"/>
      <c r="C50" s="28"/>
      <c r="D50" s="26"/>
      <c r="E50" s="28"/>
      <c r="F50" s="26"/>
      <c r="G50" s="28"/>
      <c r="H50" s="26"/>
      <c r="I50" s="9"/>
      <c r="J50" s="38"/>
      <c r="K50" s="28"/>
      <c r="L50" s="38"/>
      <c r="M50" s="28"/>
      <c r="N50" s="38"/>
      <c r="O50" s="28"/>
      <c r="P50" s="38"/>
      <c r="Q50" s="28"/>
      <c r="R50" s="38"/>
      <c r="S50" s="28"/>
      <c r="T50" s="38"/>
      <c r="U50" s="28"/>
      <c r="V50" s="38"/>
      <c r="W50" s="28"/>
      <c r="X50" s="38"/>
      <c r="Y50" s="28"/>
      <c r="Z50" s="38"/>
    </row>
    <row r="51">
      <c r="A51" s="9"/>
      <c r="B51" s="26"/>
      <c r="C51" s="28"/>
      <c r="D51" s="26"/>
      <c r="E51" s="28"/>
      <c r="F51" s="26"/>
      <c r="G51" s="28"/>
      <c r="H51" s="26"/>
      <c r="I51" s="9"/>
      <c r="J51" s="38"/>
      <c r="K51" s="28"/>
      <c r="L51" s="38"/>
      <c r="M51" s="28"/>
      <c r="N51" s="38"/>
      <c r="O51" s="28"/>
      <c r="P51" s="38"/>
      <c r="Q51" s="28"/>
      <c r="R51" s="38"/>
      <c r="S51" s="28"/>
      <c r="T51" s="38"/>
      <c r="U51" s="28"/>
      <c r="V51" s="38"/>
      <c r="W51" s="28"/>
      <c r="X51" s="38"/>
      <c r="Y51" s="28"/>
      <c r="Z51" s="38"/>
    </row>
    <row r="52">
      <c r="A52" s="9"/>
      <c r="B52" s="26"/>
      <c r="C52" s="28"/>
      <c r="D52" s="26"/>
      <c r="E52" s="28"/>
      <c r="F52" s="26"/>
      <c r="G52" s="28"/>
      <c r="H52" s="26"/>
      <c r="I52" s="9"/>
      <c r="J52" s="38"/>
      <c r="K52" s="28"/>
      <c r="L52" s="38"/>
      <c r="M52" s="28"/>
      <c r="N52" s="38"/>
      <c r="O52" s="28"/>
      <c r="P52" s="38"/>
      <c r="Q52" s="28"/>
      <c r="R52" s="38"/>
      <c r="S52" s="28"/>
      <c r="T52" s="38"/>
      <c r="U52" s="28"/>
      <c r="V52" s="38"/>
      <c r="W52" s="28"/>
      <c r="X52" s="38"/>
      <c r="Y52" s="28"/>
      <c r="Z52" s="38"/>
    </row>
    <row r="53">
      <c r="A53" s="9"/>
      <c r="B53" s="26"/>
      <c r="C53" s="28"/>
      <c r="D53" s="26"/>
      <c r="E53" s="28"/>
      <c r="F53" s="26"/>
      <c r="G53" s="28"/>
      <c r="H53" s="26"/>
      <c r="I53" s="9"/>
      <c r="J53" s="38"/>
      <c r="K53" s="28"/>
      <c r="L53" s="38"/>
      <c r="M53" s="28"/>
      <c r="N53" s="38"/>
      <c r="O53" s="28"/>
      <c r="P53" s="38"/>
      <c r="Q53" s="28"/>
      <c r="R53" s="38"/>
      <c r="S53" s="28"/>
      <c r="T53" s="38"/>
      <c r="U53" s="28"/>
      <c r="V53" s="38"/>
      <c r="W53" s="28"/>
      <c r="X53" s="38"/>
      <c r="Y53" s="28"/>
      <c r="Z53" s="38"/>
    </row>
    <row r="54">
      <c r="A54" s="9"/>
      <c r="B54" s="26"/>
      <c r="C54" s="28"/>
      <c r="D54" s="26"/>
      <c r="E54" s="28"/>
      <c r="F54" s="26"/>
      <c r="G54" s="28"/>
      <c r="H54" s="26"/>
      <c r="I54" s="9"/>
      <c r="J54" s="38"/>
      <c r="K54" s="28"/>
      <c r="L54" s="38"/>
      <c r="M54" s="28"/>
      <c r="N54" s="38"/>
      <c r="O54" s="28"/>
      <c r="P54" s="38"/>
      <c r="Q54" s="28"/>
      <c r="R54" s="38"/>
      <c r="S54" s="28"/>
      <c r="T54" s="38"/>
      <c r="U54" s="28"/>
      <c r="V54" s="38"/>
      <c r="W54" s="28"/>
      <c r="X54" s="38"/>
      <c r="Y54" s="28"/>
      <c r="Z54" s="38"/>
    </row>
    <row r="55">
      <c r="A55" s="9"/>
      <c r="B55" s="26"/>
      <c r="C55" s="28"/>
      <c r="D55" s="26"/>
      <c r="E55" s="28"/>
      <c r="F55" s="26"/>
      <c r="G55" s="28"/>
      <c r="H55" s="26"/>
      <c r="I55" s="9"/>
      <c r="J55" s="38"/>
      <c r="K55" s="28"/>
      <c r="L55" s="38"/>
      <c r="M55" s="28"/>
      <c r="N55" s="38"/>
      <c r="O55" s="28"/>
      <c r="P55" s="38"/>
      <c r="Q55" s="28"/>
      <c r="R55" s="38"/>
      <c r="S55" s="28"/>
      <c r="T55" s="38"/>
      <c r="U55" s="28"/>
      <c r="V55" s="38"/>
      <c r="W55" s="28"/>
      <c r="X55" s="38"/>
      <c r="Y55" s="28"/>
      <c r="Z55" s="38"/>
    </row>
    <row r="56">
      <c r="A56" s="9"/>
      <c r="B56" s="26"/>
      <c r="C56" s="28"/>
      <c r="D56" s="26"/>
      <c r="E56" s="28"/>
      <c r="F56" s="26"/>
      <c r="G56" s="28"/>
      <c r="H56" s="26"/>
      <c r="I56" s="9"/>
      <c r="J56" s="38"/>
      <c r="K56" s="28"/>
      <c r="L56" s="38"/>
      <c r="M56" s="28"/>
      <c r="N56" s="38"/>
      <c r="O56" s="28"/>
      <c r="P56" s="38"/>
      <c r="Q56" s="28"/>
      <c r="R56" s="38"/>
      <c r="S56" s="28"/>
      <c r="T56" s="38"/>
      <c r="U56" s="28"/>
      <c r="V56" s="38"/>
      <c r="W56" s="28"/>
      <c r="X56" s="38"/>
      <c r="Y56" s="28"/>
      <c r="Z56" s="38"/>
    </row>
    <row r="57">
      <c r="A57" s="9"/>
      <c r="B57" s="26"/>
      <c r="C57" s="28"/>
      <c r="D57" s="26"/>
      <c r="E57" s="28"/>
      <c r="F57" s="26"/>
      <c r="G57" s="28"/>
      <c r="H57" s="26"/>
      <c r="I57" s="9"/>
      <c r="J57" s="38"/>
      <c r="K57" s="28"/>
      <c r="L57" s="38"/>
      <c r="M57" s="28"/>
      <c r="N57" s="38"/>
      <c r="O57" s="28"/>
      <c r="P57" s="38"/>
      <c r="Q57" s="28"/>
      <c r="R57" s="38"/>
      <c r="S57" s="28"/>
      <c r="T57" s="38"/>
      <c r="U57" s="28"/>
      <c r="V57" s="38"/>
      <c r="W57" s="28"/>
      <c r="X57" s="38"/>
      <c r="Y57" s="28"/>
      <c r="Z57" s="38"/>
    </row>
    <row r="58">
      <c r="A58" s="9"/>
      <c r="B58" s="26"/>
      <c r="C58" s="28"/>
      <c r="D58" s="26"/>
      <c r="E58" s="28"/>
      <c r="F58" s="26"/>
      <c r="G58" s="28"/>
      <c r="H58" s="26"/>
      <c r="I58" s="9"/>
      <c r="J58" s="38"/>
      <c r="K58" s="28"/>
      <c r="L58" s="38"/>
      <c r="M58" s="28"/>
      <c r="N58" s="38"/>
      <c r="O58" s="28"/>
      <c r="P58" s="38"/>
      <c r="Q58" s="28"/>
      <c r="R58" s="38"/>
      <c r="S58" s="28"/>
      <c r="T58" s="38"/>
      <c r="U58" s="28"/>
      <c r="V58" s="38"/>
      <c r="W58" s="28"/>
      <c r="X58" s="38"/>
      <c r="Y58" s="28"/>
      <c r="Z58" s="38"/>
    </row>
    <row r="59">
      <c r="A59" s="9"/>
      <c r="B59" s="26"/>
      <c r="C59" s="28"/>
      <c r="D59" s="26"/>
      <c r="E59" s="28"/>
      <c r="F59" s="26"/>
      <c r="G59" s="28"/>
      <c r="H59" s="26"/>
      <c r="I59" s="9"/>
      <c r="J59" s="38"/>
      <c r="K59" s="28"/>
      <c r="L59" s="38"/>
      <c r="M59" s="28"/>
      <c r="N59" s="38"/>
      <c r="O59" s="28"/>
      <c r="P59" s="38"/>
      <c r="Q59" s="28"/>
      <c r="R59" s="38"/>
      <c r="S59" s="28"/>
      <c r="T59" s="38"/>
      <c r="U59" s="28"/>
      <c r="V59" s="38"/>
      <c r="W59" s="28"/>
      <c r="X59" s="38"/>
      <c r="Y59" s="28"/>
      <c r="Z59" s="38"/>
    </row>
    <row r="60">
      <c r="A60" s="9"/>
      <c r="B60" s="26"/>
      <c r="C60" s="28"/>
      <c r="D60" s="26"/>
      <c r="E60" s="28"/>
      <c r="F60" s="26"/>
      <c r="G60" s="28"/>
      <c r="H60" s="26"/>
      <c r="I60" s="9"/>
      <c r="J60" s="38"/>
      <c r="K60" s="28"/>
      <c r="L60" s="38"/>
      <c r="M60" s="28"/>
      <c r="N60" s="38"/>
      <c r="O60" s="28"/>
      <c r="P60" s="38"/>
      <c r="Q60" s="28"/>
      <c r="R60" s="38"/>
      <c r="S60" s="28"/>
      <c r="T60" s="38"/>
      <c r="U60" s="28"/>
      <c r="V60" s="38"/>
      <c r="W60" s="28"/>
      <c r="X60" s="38"/>
      <c r="Y60" s="28"/>
      <c r="Z60" s="38"/>
    </row>
    <row r="61">
      <c r="A61" s="9"/>
      <c r="B61" s="26"/>
      <c r="C61" s="28"/>
      <c r="D61" s="26"/>
      <c r="E61" s="28"/>
      <c r="F61" s="26"/>
      <c r="G61" s="28"/>
      <c r="H61" s="26"/>
      <c r="I61" s="9"/>
      <c r="J61" s="38"/>
      <c r="K61" s="28"/>
      <c r="L61" s="38"/>
      <c r="M61" s="28"/>
      <c r="N61" s="38"/>
      <c r="O61" s="28"/>
      <c r="P61" s="38"/>
      <c r="Q61" s="28"/>
      <c r="R61" s="38"/>
      <c r="S61" s="28"/>
      <c r="T61" s="38"/>
      <c r="U61" s="28"/>
      <c r="V61" s="38"/>
      <c r="W61" s="28"/>
      <c r="X61" s="38"/>
      <c r="Y61" s="28"/>
      <c r="Z61" s="38"/>
    </row>
    <row r="62">
      <c r="A62" s="9"/>
      <c r="B62" s="26"/>
      <c r="C62" s="28"/>
      <c r="D62" s="26"/>
      <c r="E62" s="28"/>
      <c r="F62" s="26"/>
      <c r="G62" s="28"/>
      <c r="H62" s="26"/>
      <c r="I62" s="9"/>
      <c r="J62" s="38"/>
      <c r="K62" s="28"/>
      <c r="L62" s="38"/>
      <c r="M62" s="28"/>
      <c r="N62" s="38"/>
      <c r="O62" s="28"/>
      <c r="P62" s="38"/>
      <c r="Q62" s="28"/>
      <c r="R62" s="38"/>
      <c r="S62" s="28"/>
      <c r="T62" s="38"/>
      <c r="U62" s="28"/>
      <c r="V62" s="38"/>
      <c r="W62" s="28"/>
      <c r="X62" s="38"/>
      <c r="Y62" s="28"/>
      <c r="Z62" s="38"/>
    </row>
    <row r="63">
      <c r="A63" s="9"/>
      <c r="B63" s="26"/>
      <c r="C63" s="28"/>
      <c r="D63" s="26"/>
      <c r="E63" s="28"/>
      <c r="F63" s="26"/>
      <c r="G63" s="28"/>
      <c r="H63" s="26"/>
      <c r="I63" s="9"/>
      <c r="J63" s="38"/>
      <c r="K63" s="28"/>
      <c r="L63" s="38"/>
      <c r="M63" s="28"/>
      <c r="N63" s="38"/>
      <c r="O63" s="28"/>
      <c r="P63" s="38"/>
      <c r="Q63" s="28"/>
      <c r="R63" s="38"/>
      <c r="S63" s="28"/>
      <c r="T63" s="38"/>
      <c r="U63" s="28"/>
      <c r="V63" s="38"/>
      <c r="W63" s="28"/>
      <c r="X63" s="38"/>
      <c r="Y63" s="28"/>
      <c r="Z63" s="38"/>
    </row>
    <row r="64">
      <c r="A64" s="9"/>
      <c r="B64" s="26"/>
      <c r="C64" s="28"/>
      <c r="D64" s="26"/>
      <c r="E64" s="28"/>
      <c r="F64" s="26"/>
      <c r="G64" s="28"/>
      <c r="H64" s="26"/>
      <c r="I64" s="9"/>
      <c r="J64" s="38"/>
      <c r="K64" s="28"/>
      <c r="L64" s="38"/>
      <c r="M64" s="28"/>
      <c r="N64" s="38"/>
      <c r="O64" s="28"/>
      <c r="P64" s="38"/>
      <c r="Q64" s="28"/>
      <c r="R64" s="38"/>
      <c r="S64" s="28"/>
      <c r="T64" s="38"/>
      <c r="U64" s="28"/>
      <c r="V64" s="38"/>
      <c r="W64" s="28"/>
      <c r="X64" s="38"/>
      <c r="Y64" s="28"/>
      <c r="Z64" s="38"/>
    </row>
    <row r="65">
      <c r="A65" s="9"/>
      <c r="B65" s="26"/>
      <c r="C65" s="28"/>
      <c r="D65" s="26"/>
      <c r="E65" s="28"/>
      <c r="F65" s="26"/>
      <c r="G65" s="28"/>
      <c r="H65" s="26"/>
      <c r="I65" s="9"/>
      <c r="J65" s="38"/>
      <c r="K65" s="28"/>
      <c r="L65" s="38"/>
      <c r="M65" s="28"/>
      <c r="N65" s="38"/>
      <c r="O65" s="28"/>
      <c r="P65" s="38"/>
      <c r="Q65" s="28"/>
      <c r="R65" s="38"/>
      <c r="S65" s="28"/>
      <c r="T65" s="38"/>
      <c r="U65" s="28"/>
      <c r="V65" s="38"/>
      <c r="W65" s="28"/>
      <c r="X65" s="38"/>
      <c r="Y65" s="28"/>
      <c r="Z65" s="38"/>
    </row>
    <row r="66">
      <c r="A66" s="9"/>
      <c r="B66" s="26"/>
      <c r="C66" s="28"/>
      <c r="D66" s="26"/>
      <c r="E66" s="28"/>
      <c r="F66" s="26"/>
      <c r="G66" s="28"/>
      <c r="H66" s="26"/>
      <c r="I66" s="9"/>
      <c r="J66" s="38"/>
      <c r="K66" s="28"/>
      <c r="L66" s="38"/>
      <c r="M66" s="28"/>
      <c r="N66" s="38"/>
      <c r="O66" s="28"/>
      <c r="P66" s="38"/>
      <c r="Q66" s="28"/>
      <c r="R66" s="38"/>
      <c r="S66" s="28"/>
      <c r="T66" s="38"/>
      <c r="U66" s="28"/>
      <c r="V66" s="38"/>
      <c r="W66" s="28"/>
      <c r="X66" s="38"/>
      <c r="Y66" s="28"/>
      <c r="Z66" s="38"/>
    </row>
    <row r="67">
      <c r="A67" s="9"/>
      <c r="B67" s="26"/>
      <c r="C67" s="28"/>
      <c r="D67" s="26"/>
      <c r="E67" s="28"/>
      <c r="F67" s="26"/>
      <c r="G67" s="28"/>
      <c r="H67" s="26"/>
      <c r="I67" s="9"/>
      <c r="J67" s="38"/>
      <c r="K67" s="28"/>
      <c r="L67" s="38"/>
      <c r="M67" s="28"/>
      <c r="N67" s="38"/>
      <c r="O67" s="28"/>
      <c r="P67" s="38"/>
      <c r="Q67" s="28"/>
      <c r="R67" s="38"/>
      <c r="S67" s="28"/>
      <c r="T67" s="38"/>
      <c r="U67" s="28"/>
      <c r="V67" s="38"/>
      <c r="W67" s="28"/>
      <c r="X67" s="38"/>
      <c r="Y67" s="28"/>
      <c r="Z67" s="38"/>
    </row>
    <row r="68">
      <c r="A68" s="9"/>
      <c r="B68" s="26"/>
      <c r="C68" s="28"/>
      <c r="D68" s="26"/>
      <c r="E68" s="28"/>
      <c r="F68" s="26"/>
      <c r="G68" s="28"/>
      <c r="H68" s="26"/>
      <c r="I68" s="9"/>
      <c r="J68" s="38"/>
      <c r="K68" s="28"/>
      <c r="L68" s="38"/>
      <c r="M68" s="28"/>
      <c r="N68" s="38"/>
      <c r="O68" s="28"/>
      <c r="P68" s="38"/>
      <c r="Q68" s="28"/>
      <c r="R68" s="38"/>
      <c r="S68" s="28"/>
      <c r="T68" s="38"/>
      <c r="U68" s="28"/>
      <c r="V68" s="38"/>
      <c r="W68" s="28"/>
      <c r="X68" s="38"/>
      <c r="Y68" s="28"/>
      <c r="Z68" s="38"/>
    </row>
    <row r="69">
      <c r="A69" s="9"/>
      <c r="B69" s="26"/>
      <c r="C69" s="28"/>
      <c r="D69" s="26"/>
      <c r="E69" s="28"/>
      <c r="F69" s="26"/>
      <c r="G69" s="28"/>
      <c r="H69" s="26"/>
      <c r="I69" s="9"/>
      <c r="J69" s="38"/>
      <c r="K69" s="28"/>
      <c r="L69" s="38"/>
      <c r="M69" s="28"/>
      <c r="N69" s="38"/>
      <c r="O69" s="28"/>
      <c r="P69" s="38"/>
      <c r="Q69" s="28"/>
      <c r="R69" s="38"/>
      <c r="S69" s="28"/>
      <c r="T69" s="38"/>
      <c r="U69" s="28"/>
      <c r="V69" s="38"/>
      <c r="W69" s="28"/>
      <c r="X69" s="38"/>
      <c r="Y69" s="28"/>
      <c r="Z69" s="38"/>
    </row>
    <row r="70">
      <c r="A70" s="9"/>
      <c r="B70" s="26"/>
      <c r="C70" s="28"/>
      <c r="D70" s="26"/>
      <c r="E70" s="28"/>
      <c r="F70" s="26"/>
      <c r="G70" s="28"/>
      <c r="H70" s="26"/>
      <c r="I70" s="9"/>
      <c r="J70" s="38"/>
      <c r="K70" s="28"/>
      <c r="L70" s="38"/>
      <c r="M70" s="28"/>
      <c r="N70" s="38"/>
      <c r="O70" s="28"/>
      <c r="P70" s="38"/>
      <c r="Q70" s="28"/>
      <c r="R70" s="38"/>
      <c r="S70" s="28"/>
      <c r="T70" s="38"/>
      <c r="U70" s="28"/>
      <c r="V70" s="38"/>
      <c r="W70" s="28"/>
      <c r="X70" s="38"/>
      <c r="Y70" s="28"/>
      <c r="Z70" s="38"/>
    </row>
    <row r="71">
      <c r="A71" s="9"/>
      <c r="B71" s="26"/>
      <c r="C71" s="28"/>
      <c r="D71" s="26"/>
      <c r="E71" s="28"/>
      <c r="F71" s="26"/>
      <c r="G71" s="28"/>
      <c r="H71" s="26"/>
      <c r="I71" s="9"/>
      <c r="J71" s="38"/>
      <c r="K71" s="28"/>
      <c r="L71" s="38"/>
      <c r="M71" s="28"/>
      <c r="N71" s="38"/>
      <c r="O71" s="28"/>
      <c r="P71" s="38"/>
      <c r="Q71" s="28"/>
      <c r="R71" s="38"/>
      <c r="S71" s="28"/>
      <c r="T71" s="38"/>
      <c r="U71" s="28"/>
      <c r="V71" s="38"/>
      <c r="W71" s="28"/>
      <c r="X71" s="38"/>
      <c r="Y71" s="28"/>
      <c r="Z71" s="38"/>
    </row>
    <row r="72">
      <c r="A72" s="9"/>
      <c r="B72" s="26"/>
      <c r="C72" s="28"/>
      <c r="D72" s="26"/>
      <c r="E72" s="28"/>
      <c r="F72" s="26"/>
      <c r="G72" s="28"/>
      <c r="H72" s="26"/>
      <c r="I72" s="9"/>
      <c r="J72" s="38"/>
      <c r="K72" s="28"/>
      <c r="L72" s="38"/>
      <c r="M72" s="28"/>
      <c r="N72" s="38"/>
      <c r="O72" s="28"/>
      <c r="P72" s="38"/>
      <c r="Q72" s="28"/>
      <c r="R72" s="38"/>
      <c r="S72" s="28"/>
      <c r="T72" s="38"/>
      <c r="U72" s="28"/>
      <c r="V72" s="38"/>
      <c r="W72" s="28"/>
      <c r="X72" s="38"/>
      <c r="Y72" s="28"/>
      <c r="Z72" s="38"/>
    </row>
    <row r="73">
      <c r="A73" s="9"/>
      <c r="B73" s="26"/>
      <c r="C73" s="28"/>
      <c r="D73" s="26"/>
      <c r="E73" s="28"/>
      <c r="F73" s="26"/>
      <c r="G73" s="28"/>
      <c r="H73" s="26"/>
      <c r="I73" s="9"/>
      <c r="J73" s="38"/>
      <c r="K73" s="28"/>
      <c r="L73" s="38"/>
      <c r="M73" s="28"/>
      <c r="N73" s="38"/>
      <c r="O73" s="28"/>
      <c r="P73" s="38"/>
      <c r="Q73" s="28"/>
      <c r="R73" s="38"/>
      <c r="S73" s="28"/>
      <c r="T73" s="38"/>
      <c r="U73" s="28"/>
      <c r="V73" s="38"/>
      <c r="W73" s="28"/>
      <c r="X73" s="38"/>
      <c r="Y73" s="28"/>
      <c r="Z73" s="38"/>
    </row>
    <row r="74">
      <c r="A74" s="9"/>
      <c r="B74" s="26"/>
      <c r="C74" s="28"/>
      <c r="D74" s="26"/>
      <c r="E74" s="28"/>
      <c r="F74" s="26"/>
      <c r="G74" s="28"/>
      <c r="H74" s="26"/>
      <c r="I74" s="9"/>
      <c r="J74" s="38"/>
      <c r="K74" s="28"/>
      <c r="L74" s="38"/>
      <c r="M74" s="28"/>
      <c r="N74" s="38"/>
      <c r="O74" s="28"/>
      <c r="P74" s="38"/>
      <c r="Q74" s="28"/>
      <c r="R74" s="38"/>
      <c r="S74" s="28"/>
      <c r="T74" s="38"/>
      <c r="U74" s="28"/>
      <c r="V74" s="38"/>
      <c r="W74" s="28"/>
      <c r="X74" s="38"/>
      <c r="Y74" s="28"/>
      <c r="Z74" s="38"/>
    </row>
    <row r="75">
      <c r="A75" s="9"/>
      <c r="B75" s="26"/>
      <c r="C75" s="28"/>
      <c r="D75" s="26"/>
      <c r="E75" s="28"/>
      <c r="F75" s="26"/>
      <c r="G75" s="28"/>
      <c r="H75" s="26"/>
      <c r="I75" s="9"/>
      <c r="J75" s="38"/>
      <c r="K75" s="28"/>
      <c r="L75" s="38"/>
      <c r="M75" s="28"/>
      <c r="N75" s="38"/>
      <c r="O75" s="28"/>
      <c r="P75" s="38"/>
      <c r="Q75" s="28"/>
      <c r="R75" s="38"/>
      <c r="S75" s="28"/>
      <c r="T75" s="38"/>
      <c r="U75" s="28"/>
      <c r="V75" s="38"/>
      <c r="W75" s="28"/>
      <c r="X75" s="38"/>
      <c r="Y75" s="28"/>
      <c r="Z75" s="38"/>
    </row>
    <row r="76">
      <c r="A76" s="9"/>
      <c r="B76" s="26"/>
      <c r="C76" s="28"/>
      <c r="D76" s="26"/>
      <c r="E76" s="28"/>
      <c r="F76" s="26"/>
      <c r="G76" s="28"/>
      <c r="H76" s="26"/>
      <c r="I76" s="9"/>
      <c r="J76" s="38"/>
      <c r="K76" s="28"/>
      <c r="L76" s="38"/>
      <c r="M76" s="28"/>
      <c r="N76" s="38"/>
      <c r="O76" s="28"/>
      <c r="P76" s="38"/>
      <c r="Q76" s="28"/>
      <c r="R76" s="38"/>
      <c r="S76" s="28"/>
      <c r="T76" s="38"/>
      <c r="U76" s="28"/>
      <c r="V76" s="38"/>
      <c r="W76" s="28"/>
      <c r="X76" s="38"/>
      <c r="Y76" s="28"/>
      <c r="Z76" s="38"/>
    </row>
    <row r="77">
      <c r="A77" s="9"/>
      <c r="B77" s="26"/>
      <c r="C77" s="28"/>
      <c r="D77" s="26"/>
      <c r="E77" s="28"/>
      <c r="F77" s="26"/>
      <c r="G77" s="28"/>
      <c r="H77" s="26"/>
      <c r="I77" s="9"/>
      <c r="J77" s="38"/>
      <c r="K77" s="28"/>
      <c r="L77" s="38"/>
      <c r="M77" s="28"/>
      <c r="N77" s="38"/>
      <c r="O77" s="28"/>
      <c r="P77" s="38"/>
      <c r="Q77" s="28"/>
      <c r="R77" s="38"/>
      <c r="S77" s="28"/>
      <c r="T77" s="38"/>
      <c r="U77" s="28"/>
      <c r="V77" s="38"/>
      <c r="W77" s="28"/>
      <c r="X77" s="38"/>
      <c r="Y77" s="28"/>
      <c r="Z77" s="38"/>
    </row>
    <row r="78">
      <c r="A78" s="9"/>
      <c r="B78" s="26"/>
      <c r="C78" s="28"/>
      <c r="D78" s="26"/>
      <c r="E78" s="28"/>
      <c r="F78" s="26"/>
      <c r="G78" s="28"/>
      <c r="H78" s="26"/>
      <c r="I78" s="9"/>
      <c r="J78" s="38"/>
      <c r="K78" s="28"/>
      <c r="L78" s="38"/>
      <c r="M78" s="28"/>
      <c r="N78" s="38"/>
      <c r="O78" s="28"/>
      <c r="P78" s="38"/>
      <c r="Q78" s="28"/>
      <c r="R78" s="38"/>
      <c r="S78" s="28"/>
      <c r="T78" s="38"/>
      <c r="U78" s="28"/>
      <c r="V78" s="38"/>
      <c r="W78" s="28"/>
      <c r="X78" s="38"/>
      <c r="Y78" s="28"/>
      <c r="Z78" s="38"/>
    </row>
    <row r="79">
      <c r="A79" s="9"/>
      <c r="B79" s="26"/>
      <c r="C79" s="28"/>
      <c r="D79" s="26"/>
      <c r="E79" s="28"/>
      <c r="F79" s="26"/>
      <c r="G79" s="28"/>
      <c r="H79" s="26"/>
      <c r="I79" s="9"/>
      <c r="J79" s="38"/>
      <c r="K79" s="28"/>
      <c r="L79" s="38"/>
      <c r="M79" s="28"/>
      <c r="N79" s="38"/>
      <c r="O79" s="28"/>
      <c r="P79" s="38"/>
      <c r="Q79" s="28"/>
      <c r="R79" s="38"/>
      <c r="S79" s="28"/>
      <c r="T79" s="38"/>
      <c r="U79" s="28"/>
      <c r="V79" s="38"/>
      <c r="W79" s="28"/>
      <c r="X79" s="38"/>
      <c r="Y79" s="28"/>
      <c r="Z79" s="38"/>
    </row>
    <row r="80">
      <c r="A80" s="9"/>
      <c r="B80" s="26"/>
      <c r="C80" s="28"/>
      <c r="D80" s="26"/>
      <c r="E80" s="28"/>
      <c r="F80" s="26"/>
      <c r="G80" s="28"/>
      <c r="H80" s="26"/>
      <c r="I80" s="9"/>
      <c r="J80" s="38"/>
      <c r="K80" s="28"/>
      <c r="L80" s="38"/>
      <c r="M80" s="28"/>
      <c r="N80" s="38"/>
      <c r="O80" s="28"/>
      <c r="P80" s="38"/>
      <c r="Q80" s="28"/>
      <c r="R80" s="38"/>
      <c r="S80" s="28"/>
      <c r="T80" s="38"/>
      <c r="U80" s="28"/>
      <c r="V80" s="38"/>
      <c r="W80" s="28"/>
      <c r="X80" s="38"/>
      <c r="Y80" s="28"/>
      <c r="Z80" s="38"/>
    </row>
    <row r="81">
      <c r="A81" s="9"/>
      <c r="B81" s="26"/>
      <c r="C81" s="28"/>
      <c r="D81" s="26"/>
      <c r="E81" s="28"/>
      <c r="F81" s="26"/>
      <c r="G81" s="28"/>
      <c r="H81" s="26"/>
      <c r="I81" s="9"/>
      <c r="J81" s="38"/>
      <c r="K81" s="28"/>
      <c r="L81" s="38"/>
      <c r="M81" s="28"/>
      <c r="N81" s="38"/>
      <c r="O81" s="28"/>
      <c r="P81" s="38"/>
      <c r="Q81" s="28"/>
      <c r="R81" s="38"/>
      <c r="S81" s="28"/>
      <c r="T81" s="38"/>
      <c r="U81" s="28"/>
      <c r="V81" s="38"/>
      <c r="W81" s="28"/>
      <c r="X81" s="38"/>
      <c r="Y81" s="28"/>
      <c r="Z81" s="38"/>
    </row>
    <row r="82">
      <c r="A82" s="9"/>
      <c r="B82" s="26"/>
      <c r="C82" s="28"/>
      <c r="D82" s="26"/>
      <c r="E82" s="28"/>
      <c r="F82" s="26"/>
      <c r="G82" s="28"/>
      <c r="H82" s="26"/>
      <c r="I82" s="9"/>
      <c r="J82" s="38"/>
      <c r="K82" s="28"/>
      <c r="L82" s="38"/>
      <c r="M82" s="28"/>
      <c r="N82" s="38"/>
      <c r="O82" s="28"/>
      <c r="P82" s="38"/>
      <c r="Q82" s="28"/>
      <c r="R82" s="38"/>
      <c r="S82" s="28"/>
      <c r="T82" s="38"/>
      <c r="U82" s="28"/>
      <c r="V82" s="38"/>
      <c r="W82" s="28"/>
      <c r="X82" s="38"/>
      <c r="Y82" s="28"/>
      <c r="Z82" s="38"/>
    </row>
    <row r="83">
      <c r="A83" s="9"/>
      <c r="B83" s="26"/>
      <c r="C83" s="28"/>
      <c r="D83" s="26"/>
      <c r="E83" s="28"/>
      <c r="F83" s="26"/>
      <c r="G83" s="28"/>
      <c r="H83" s="26"/>
      <c r="I83" s="9"/>
      <c r="J83" s="38"/>
      <c r="K83" s="28"/>
      <c r="L83" s="38"/>
      <c r="M83" s="28"/>
      <c r="N83" s="38"/>
      <c r="O83" s="28"/>
      <c r="P83" s="38"/>
      <c r="Q83" s="28"/>
      <c r="R83" s="38"/>
      <c r="S83" s="28"/>
      <c r="T83" s="38"/>
      <c r="U83" s="28"/>
      <c r="V83" s="38"/>
      <c r="W83" s="28"/>
      <c r="X83" s="38"/>
      <c r="Y83" s="28"/>
      <c r="Z83" s="38"/>
    </row>
    <row r="84">
      <c r="A84" s="9"/>
      <c r="B84" s="26"/>
      <c r="C84" s="28"/>
      <c r="D84" s="26"/>
      <c r="E84" s="28"/>
      <c r="F84" s="26"/>
      <c r="G84" s="28"/>
      <c r="H84" s="26"/>
      <c r="I84" s="9"/>
      <c r="J84" s="38"/>
      <c r="K84" s="28"/>
      <c r="L84" s="38"/>
      <c r="M84" s="28"/>
      <c r="N84" s="38"/>
      <c r="O84" s="28"/>
      <c r="P84" s="38"/>
      <c r="Q84" s="28"/>
      <c r="R84" s="38"/>
      <c r="S84" s="28"/>
      <c r="T84" s="38"/>
      <c r="U84" s="28"/>
      <c r="V84" s="38"/>
      <c r="W84" s="28"/>
      <c r="X84" s="38"/>
      <c r="Y84" s="28"/>
      <c r="Z84" s="38"/>
    </row>
    <row r="85">
      <c r="A85" s="9"/>
      <c r="B85" s="26"/>
      <c r="C85" s="28"/>
      <c r="D85" s="26"/>
      <c r="E85" s="28"/>
      <c r="F85" s="26"/>
      <c r="G85" s="28"/>
      <c r="H85" s="26"/>
      <c r="I85" s="9"/>
      <c r="J85" s="38"/>
      <c r="K85" s="28"/>
      <c r="L85" s="38"/>
      <c r="M85" s="28"/>
      <c r="N85" s="38"/>
      <c r="O85" s="28"/>
      <c r="P85" s="38"/>
      <c r="Q85" s="28"/>
      <c r="R85" s="38"/>
      <c r="S85" s="28"/>
      <c r="T85" s="38"/>
      <c r="U85" s="28"/>
      <c r="V85" s="38"/>
      <c r="W85" s="28"/>
      <c r="X85" s="38"/>
      <c r="Y85" s="28"/>
      <c r="Z85" s="38"/>
    </row>
    <row r="86">
      <c r="A86" s="9"/>
      <c r="B86" s="26"/>
      <c r="C86" s="28"/>
      <c r="D86" s="26"/>
      <c r="E86" s="28"/>
      <c r="F86" s="26"/>
      <c r="G86" s="28"/>
      <c r="H86" s="26"/>
      <c r="I86" s="9"/>
      <c r="J86" s="38"/>
      <c r="K86" s="28"/>
      <c r="L86" s="38"/>
      <c r="M86" s="28"/>
      <c r="N86" s="38"/>
      <c r="O86" s="28"/>
      <c r="P86" s="38"/>
      <c r="Q86" s="28"/>
      <c r="R86" s="38"/>
      <c r="S86" s="28"/>
      <c r="T86" s="38"/>
      <c r="U86" s="28"/>
      <c r="V86" s="38"/>
      <c r="W86" s="28"/>
      <c r="X86" s="38"/>
      <c r="Y86" s="28"/>
      <c r="Z86" s="38"/>
    </row>
    <row r="87">
      <c r="A87" s="9"/>
      <c r="B87" s="26"/>
      <c r="C87" s="28"/>
      <c r="D87" s="26"/>
      <c r="E87" s="28"/>
      <c r="F87" s="26"/>
      <c r="G87" s="28"/>
      <c r="H87" s="26"/>
      <c r="I87" s="9"/>
      <c r="J87" s="38"/>
      <c r="K87" s="28"/>
      <c r="L87" s="38"/>
      <c r="M87" s="28"/>
      <c r="N87" s="38"/>
      <c r="O87" s="28"/>
      <c r="P87" s="38"/>
      <c r="Q87" s="28"/>
      <c r="R87" s="38"/>
      <c r="S87" s="28"/>
      <c r="T87" s="38"/>
      <c r="U87" s="28"/>
      <c r="V87" s="38"/>
      <c r="W87" s="28"/>
      <c r="X87" s="38"/>
      <c r="Y87" s="28"/>
      <c r="Z87" s="38"/>
    </row>
    <row r="88">
      <c r="A88" s="9"/>
      <c r="B88" s="26"/>
      <c r="C88" s="28"/>
      <c r="D88" s="26"/>
      <c r="E88" s="28"/>
      <c r="F88" s="26"/>
      <c r="G88" s="28"/>
      <c r="H88" s="26"/>
      <c r="I88" s="9"/>
      <c r="J88" s="38"/>
      <c r="K88" s="28"/>
      <c r="L88" s="38"/>
      <c r="M88" s="28"/>
      <c r="N88" s="38"/>
      <c r="O88" s="28"/>
      <c r="P88" s="38"/>
      <c r="Q88" s="28"/>
      <c r="R88" s="38"/>
      <c r="S88" s="28"/>
      <c r="T88" s="38"/>
      <c r="U88" s="28"/>
      <c r="V88" s="38"/>
      <c r="W88" s="28"/>
      <c r="X88" s="38"/>
      <c r="Y88" s="28"/>
      <c r="Z88" s="38"/>
    </row>
    <row r="89">
      <c r="A89" s="9"/>
      <c r="B89" s="26"/>
      <c r="C89" s="28"/>
      <c r="D89" s="26"/>
      <c r="E89" s="28"/>
      <c r="F89" s="26"/>
      <c r="G89" s="28"/>
      <c r="H89" s="26"/>
      <c r="I89" s="9"/>
      <c r="J89" s="38"/>
      <c r="K89" s="28"/>
      <c r="L89" s="38"/>
      <c r="M89" s="28"/>
      <c r="N89" s="38"/>
      <c r="O89" s="28"/>
      <c r="P89" s="38"/>
      <c r="Q89" s="28"/>
      <c r="R89" s="38"/>
      <c r="S89" s="28"/>
      <c r="T89" s="38"/>
      <c r="U89" s="28"/>
      <c r="V89" s="38"/>
      <c r="W89" s="28"/>
      <c r="X89" s="38"/>
      <c r="Y89" s="28"/>
      <c r="Z89" s="38"/>
    </row>
    <row r="90">
      <c r="A90" s="9"/>
      <c r="B90" s="26"/>
      <c r="C90" s="28"/>
      <c r="D90" s="26"/>
      <c r="E90" s="28"/>
      <c r="F90" s="26"/>
      <c r="G90" s="28"/>
      <c r="H90" s="26"/>
      <c r="I90" s="9"/>
      <c r="J90" s="38"/>
      <c r="K90" s="28"/>
      <c r="L90" s="38"/>
      <c r="M90" s="28"/>
      <c r="N90" s="38"/>
      <c r="O90" s="28"/>
      <c r="P90" s="38"/>
      <c r="Q90" s="28"/>
      <c r="R90" s="38"/>
      <c r="S90" s="28"/>
      <c r="T90" s="38"/>
      <c r="U90" s="28"/>
      <c r="V90" s="38"/>
      <c r="W90" s="28"/>
      <c r="X90" s="38"/>
      <c r="Y90" s="28"/>
      <c r="Z90" s="38"/>
    </row>
    <row r="91">
      <c r="A91" s="9"/>
      <c r="B91" s="26"/>
      <c r="C91" s="28"/>
      <c r="D91" s="26"/>
      <c r="E91" s="28"/>
      <c r="F91" s="26"/>
      <c r="G91" s="28"/>
      <c r="H91" s="26"/>
      <c r="I91" s="9"/>
      <c r="J91" s="38"/>
      <c r="K91" s="28"/>
      <c r="L91" s="38"/>
      <c r="M91" s="28"/>
      <c r="N91" s="38"/>
      <c r="O91" s="28"/>
      <c r="P91" s="38"/>
      <c r="Q91" s="28"/>
      <c r="R91" s="38"/>
      <c r="S91" s="28"/>
      <c r="T91" s="38"/>
      <c r="U91" s="28"/>
      <c r="V91" s="38"/>
      <c r="W91" s="28"/>
      <c r="X91" s="38"/>
      <c r="Y91" s="28"/>
      <c r="Z91" s="38"/>
    </row>
    <row r="92">
      <c r="A92" s="9"/>
      <c r="B92" s="26"/>
      <c r="C92" s="28"/>
      <c r="D92" s="26"/>
      <c r="E92" s="28"/>
      <c r="F92" s="26"/>
      <c r="G92" s="28"/>
      <c r="H92" s="26"/>
      <c r="I92" s="9"/>
      <c r="J92" s="38"/>
      <c r="K92" s="28"/>
      <c r="L92" s="38"/>
      <c r="M92" s="28"/>
      <c r="N92" s="38"/>
      <c r="O92" s="28"/>
      <c r="P92" s="38"/>
      <c r="Q92" s="28"/>
      <c r="R92" s="38"/>
      <c r="S92" s="28"/>
      <c r="T92" s="38"/>
      <c r="U92" s="28"/>
      <c r="V92" s="38"/>
      <c r="W92" s="28"/>
      <c r="X92" s="38"/>
      <c r="Y92" s="28"/>
      <c r="Z92" s="38"/>
    </row>
    <row r="93">
      <c r="A93" s="9"/>
      <c r="B93" s="26"/>
      <c r="C93" s="28"/>
      <c r="D93" s="26"/>
      <c r="E93" s="28"/>
      <c r="F93" s="26"/>
      <c r="G93" s="28"/>
      <c r="H93" s="26"/>
      <c r="I93" s="9"/>
      <c r="J93" s="38"/>
      <c r="K93" s="28"/>
      <c r="L93" s="38"/>
      <c r="M93" s="28"/>
      <c r="N93" s="38"/>
      <c r="O93" s="28"/>
      <c r="P93" s="38"/>
      <c r="Q93" s="28"/>
      <c r="R93" s="38"/>
      <c r="S93" s="28"/>
      <c r="T93" s="38"/>
      <c r="U93" s="28"/>
      <c r="V93" s="38"/>
      <c r="W93" s="28"/>
      <c r="X93" s="38"/>
      <c r="Y93" s="28"/>
      <c r="Z93" s="38"/>
    </row>
    <row r="94">
      <c r="A94" s="9"/>
      <c r="B94" s="26"/>
      <c r="C94" s="28"/>
      <c r="D94" s="26"/>
      <c r="E94" s="28"/>
      <c r="F94" s="26"/>
      <c r="G94" s="28"/>
      <c r="H94" s="26"/>
      <c r="I94" s="9"/>
      <c r="J94" s="38"/>
      <c r="K94" s="28"/>
      <c r="L94" s="38"/>
      <c r="M94" s="28"/>
      <c r="N94" s="38"/>
      <c r="O94" s="28"/>
      <c r="P94" s="38"/>
      <c r="Q94" s="28"/>
      <c r="R94" s="38"/>
      <c r="S94" s="28"/>
      <c r="T94" s="38"/>
      <c r="U94" s="28"/>
      <c r="V94" s="38"/>
      <c r="W94" s="28"/>
      <c r="X94" s="38"/>
      <c r="Y94" s="28"/>
      <c r="Z94" s="38"/>
    </row>
    <row r="95">
      <c r="A95" s="9"/>
      <c r="B95" s="26"/>
      <c r="C95" s="28"/>
      <c r="D95" s="26"/>
      <c r="E95" s="28"/>
      <c r="F95" s="26"/>
      <c r="G95" s="28"/>
      <c r="H95" s="26"/>
      <c r="I95" s="9"/>
      <c r="J95" s="38"/>
      <c r="K95" s="28"/>
      <c r="L95" s="38"/>
      <c r="M95" s="28"/>
      <c r="N95" s="38"/>
      <c r="O95" s="28"/>
      <c r="P95" s="38"/>
      <c r="Q95" s="28"/>
      <c r="R95" s="38"/>
      <c r="S95" s="28"/>
      <c r="T95" s="38"/>
      <c r="U95" s="28"/>
      <c r="V95" s="38"/>
      <c r="W95" s="28"/>
      <c r="X95" s="38"/>
      <c r="Y95" s="28"/>
      <c r="Z95" s="38"/>
    </row>
    <row r="96">
      <c r="A96" s="9"/>
      <c r="B96" s="26"/>
      <c r="C96" s="28"/>
      <c r="D96" s="26"/>
      <c r="E96" s="28"/>
      <c r="F96" s="26"/>
      <c r="G96" s="28"/>
      <c r="H96" s="26"/>
      <c r="I96" s="9"/>
      <c r="J96" s="38"/>
      <c r="K96" s="28"/>
      <c r="L96" s="38"/>
      <c r="M96" s="28"/>
      <c r="N96" s="38"/>
      <c r="O96" s="28"/>
      <c r="P96" s="38"/>
      <c r="Q96" s="28"/>
      <c r="R96" s="38"/>
      <c r="S96" s="28"/>
      <c r="T96" s="38"/>
      <c r="U96" s="28"/>
      <c r="V96" s="38"/>
      <c r="W96" s="28"/>
      <c r="X96" s="38"/>
      <c r="Y96" s="28"/>
      <c r="Z96" s="38"/>
    </row>
    <row r="97">
      <c r="A97" s="9"/>
      <c r="B97" s="26"/>
      <c r="C97" s="28"/>
      <c r="D97" s="26"/>
      <c r="E97" s="28"/>
      <c r="F97" s="26"/>
      <c r="G97" s="28"/>
      <c r="H97" s="26"/>
      <c r="I97" s="9"/>
      <c r="J97" s="38"/>
      <c r="K97" s="28"/>
      <c r="L97" s="38"/>
      <c r="M97" s="28"/>
      <c r="N97" s="38"/>
      <c r="O97" s="28"/>
      <c r="P97" s="38"/>
      <c r="Q97" s="28"/>
      <c r="R97" s="38"/>
      <c r="S97" s="28"/>
      <c r="T97" s="38"/>
      <c r="U97" s="28"/>
      <c r="V97" s="38"/>
      <c r="W97" s="28"/>
      <c r="X97" s="38"/>
      <c r="Y97" s="28"/>
      <c r="Z97" s="38"/>
    </row>
    <row r="98">
      <c r="A98" s="9"/>
      <c r="B98" s="26"/>
      <c r="C98" s="28"/>
      <c r="D98" s="26"/>
      <c r="E98" s="28"/>
      <c r="F98" s="26"/>
      <c r="G98" s="28"/>
      <c r="H98" s="26"/>
      <c r="I98" s="9"/>
      <c r="J98" s="38"/>
      <c r="K98" s="28"/>
      <c r="L98" s="38"/>
      <c r="M98" s="28"/>
      <c r="N98" s="38"/>
      <c r="O98" s="28"/>
      <c r="P98" s="38"/>
      <c r="Q98" s="28"/>
      <c r="R98" s="38"/>
      <c r="S98" s="28"/>
      <c r="T98" s="38"/>
      <c r="U98" s="28"/>
      <c r="V98" s="38"/>
      <c r="W98" s="28"/>
      <c r="X98" s="38"/>
      <c r="Y98" s="28"/>
      <c r="Z98" s="38"/>
    </row>
    <row r="99">
      <c r="A99" s="9"/>
      <c r="B99" s="26"/>
      <c r="C99" s="28"/>
      <c r="D99" s="26"/>
      <c r="E99" s="28"/>
      <c r="F99" s="26"/>
      <c r="G99" s="28"/>
      <c r="H99" s="26"/>
      <c r="I99" s="9"/>
      <c r="J99" s="38"/>
      <c r="K99" s="28"/>
      <c r="L99" s="38"/>
      <c r="M99" s="28"/>
      <c r="N99" s="38"/>
      <c r="O99" s="28"/>
      <c r="P99" s="38"/>
      <c r="Q99" s="28"/>
      <c r="R99" s="38"/>
      <c r="S99" s="28"/>
      <c r="T99" s="38"/>
      <c r="U99" s="28"/>
      <c r="V99" s="38"/>
      <c r="W99" s="28"/>
      <c r="X99" s="38"/>
      <c r="Y99" s="28"/>
      <c r="Z99" s="38"/>
    </row>
    <row r="100">
      <c r="A100" s="9"/>
      <c r="B100" s="26"/>
      <c r="C100" s="28"/>
      <c r="D100" s="26"/>
      <c r="E100" s="28"/>
      <c r="F100" s="26"/>
      <c r="G100" s="28"/>
      <c r="H100" s="26"/>
      <c r="I100" s="9"/>
      <c r="J100" s="38"/>
      <c r="K100" s="28"/>
      <c r="L100" s="38"/>
      <c r="M100" s="28"/>
      <c r="N100" s="38"/>
      <c r="O100" s="28"/>
      <c r="P100" s="38"/>
      <c r="Q100" s="28"/>
      <c r="R100" s="38"/>
      <c r="S100" s="28"/>
      <c r="T100" s="38"/>
      <c r="U100" s="28"/>
      <c r="V100" s="38"/>
      <c r="W100" s="28"/>
      <c r="X100" s="38"/>
      <c r="Y100" s="28"/>
      <c r="Z100" s="38"/>
    </row>
    <row r="101">
      <c r="A101" s="9"/>
      <c r="B101" s="26"/>
      <c r="C101" s="28"/>
      <c r="D101" s="26"/>
      <c r="E101" s="28"/>
      <c r="F101" s="26"/>
      <c r="G101" s="28"/>
      <c r="H101" s="26"/>
      <c r="I101" s="9"/>
      <c r="J101" s="38"/>
      <c r="K101" s="28"/>
      <c r="L101" s="38"/>
      <c r="M101" s="28"/>
      <c r="N101" s="38"/>
      <c r="O101" s="28"/>
      <c r="P101" s="38"/>
      <c r="Q101" s="28"/>
      <c r="R101" s="38"/>
      <c r="S101" s="28"/>
      <c r="T101" s="38"/>
      <c r="U101" s="28"/>
      <c r="V101" s="38"/>
      <c r="W101" s="28"/>
      <c r="X101" s="38"/>
      <c r="Y101" s="28"/>
      <c r="Z101" s="38"/>
    </row>
    <row r="102">
      <c r="A102" s="9"/>
      <c r="B102" s="26"/>
      <c r="C102" s="28"/>
      <c r="D102" s="26"/>
      <c r="E102" s="28"/>
      <c r="F102" s="26"/>
      <c r="G102" s="28"/>
      <c r="H102" s="26"/>
      <c r="I102" s="9"/>
      <c r="J102" s="38"/>
      <c r="K102" s="28"/>
      <c r="L102" s="38"/>
      <c r="M102" s="28"/>
      <c r="N102" s="38"/>
      <c r="O102" s="28"/>
      <c r="P102" s="38"/>
      <c r="Q102" s="28"/>
      <c r="R102" s="38"/>
      <c r="S102" s="28"/>
      <c r="T102" s="38"/>
      <c r="U102" s="28"/>
      <c r="V102" s="38"/>
      <c r="W102" s="28"/>
      <c r="X102" s="38"/>
      <c r="Y102" s="28"/>
      <c r="Z102" s="38"/>
    </row>
    <row r="103">
      <c r="A103" s="9"/>
      <c r="B103" s="26"/>
      <c r="C103" s="28"/>
      <c r="D103" s="26"/>
      <c r="E103" s="28"/>
      <c r="F103" s="26"/>
      <c r="G103" s="28"/>
      <c r="H103" s="26"/>
      <c r="I103" s="9"/>
      <c r="J103" s="38"/>
      <c r="K103" s="28"/>
      <c r="L103" s="38"/>
      <c r="M103" s="28"/>
      <c r="N103" s="38"/>
      <c r="O103" s="28"/>
      <c r="P103" s="38"/>
      <c r="Q103" s="28"/>
      <c r="R103" s="38"/>
      <c r="S103" s="28"/>
      <c r="T103" s="38"/>
      <c r="U103" s="28"/>
      <c r="V103" s="38"/>
      <c r="W103" s="28"/>
      <c r="X103" s="38"/>
      <c r="Y103" s="28"/>
      <c r="Z103" s="38"/>
    </row>
    <row r="104">
      <c r="A104" s="9"/>
      <c r="B104" s="26"/>
      <c r="C104" s="28"/>
      <c r="D104" s="26"/>
      <c r="E104" s="28"/>
      <c r="F104" s="26"/>
      <c r="G104" s="28"/>
      <c r="H104" s="26"/>
      <c r="I104" s="9"/>
      <c r="J104" s="38"/>
      <c r="K104" s="28"/>
      <c r="L104" s="38"/>
      <c r="M104" s="28"/>
      <c r="N104" s="38"/>
      <c r="O104" s="28"/>
      <c r="P104" s="38"/>
      <c r="Q104" s="28"/>
      <c r="R104" s="38"/>
      <c r="S104" s="28"/>
      <c r="T104" s="38"/>
      <c r="U104" s="28"/>
      <c r="V104" s="38"/>
      <c r="W104" s="28"/>
      <c r="X104" s="38"/>
      <c r="Y104" s="28"/>
      <c r="Z104" s="38"/>
    </row>
    <row r="105">
      <c r="A105" s="9"/>
      <c r="B105" s="26"/>
      <c r="C105" s="28"/>
      <c r="D105" s="26"/>
      <c r="E105" s="28"/>
      <c r="F105" s="26"/>
      <c r="G105" s="28"/>
      <c r="H105" s="26"/>
      <c r="I105" s="9"/>
      <c r="J105" s="38"/>
      <c r="K105" s="28"/>
      <c r="L105" s="38"/>
      <c r="M105" s="28"/>
      <c r="N105" s="38"/>
      <c r="O105" s="28"/>
      <c r="P105" s="38"/>
      <c r="Q105" s="28"/>
      <c r="R105" s="38"/>
      <c r="S105" s="28"/>
      <c r="T105" s="38"/>
      <c r="U105" s="28"/>
      <c r="V105" s="38"/>
      <c r="W105" s="28"/>
      <c r="X105" s="38"/>
      <c r="Y105" s="28"/>
      <c r="Z105" s="38"/>
    </row>
    <row r="106">
      <c r="A106" s="9"/>
      <c r="B106" s="26"/>
      <c r="C106" s="28"/>
      <c r="D106" s="26"/>
      <c r="E106" s="28"/>
      <c r="F106" s="26"/>
      <c r="G106" s="28"/>
      <c r="H106" s="26"/>
      <c r="I106" s="9"/>
      <c r="J106" s="38"/>
      <c r="K106" s="28"/>
      <c r="L106" s="38"/>
      <c r="M106" s="28"/>
      <c r="N106" s="38"/>
      <c r="O106" s="28"/>
      <c r="P106" s="38"/>
      <c r="Q106" s="28"/>
      <c r="R106" s="38"/>
      <c r="S106" s="28"/>
      <c r="T106" s="38"/>
      <c r="U106" s="28"/>
      <c r="V106" s="38"/>
      <c r="W106" s="28"/>
      <c r="X106" s="38"/>
      <c r="Y106" s="28"/>
      <c r="Z106" s="38"/>
    </row>
    <row r="107">
      <c r="A107" s="9"/>
      <c r="B107" s="26"/>
      <c r="C107" s="28"/>
      <c r="D107" s="26"/>
      <c r="E107" s="28"/>
      <c r="F107" s="26"/>
      <c r="G107" s="28"/>
      <c r="H107" s="26"/>
      <c r="I107" s="9"/>
      <c r="J107" s="38"/>
      <c r="K107" s="28"/>
      <c r="L107" s="38"/>
      <c r="M107" s="28"/>
      <c r="N107" s="38"/>
      <c r="O107" s="28"/>
      <c r="P107" s="38"/>
      <c r="Q107" s="28"/>
      <c r="R107" s="38"/>
      <c r="S107" s="28"/>
      <c r="T107" s="38"/>
      <c r="U107" s="28"/>
      <c r="V107" s="38"/>
      <c r="W107" s="28"/>
      <c r="X107" s="38"/>
      <c r="Y107" s="28"/>
      <c r="Z107" s="38"/>
    </row>
    <row r="108">
      <c r="A108" s="9"/>
      <c r="B108" s="26"/>
      <c r="C108" s="28"/>
      <c r="D108" s="26"/>
      <c r="E108" s="28"/>
      <c r="F108" s="26"/>
      <c r="G108" s="28"/>
      <c r="H108" s="26"/>
      <c r="I108" s="9"/>
      <c r="J108" s="38"/>
      <c r="K108" s="28"/>
      <c r="L108" s="38"/>
      <c r="M108" s="28"/>
      <c r="N108" s="38"/>
      <c r="O108" s="28"/>
      <c r="P108" s="38"/>
      <c r="Q108" s="28"/>
      <c r="R108" s="38"/>
      <c r="S108" s="28"/>
      <c r="T108" s="38"/>
      <c r="U108" s="28"/>
      <c r="V108" s="38"/>
      <c r="W108" s="28"/>
      <c r="X108" s="38"/>
      <c r="Y108" s="28"/>
      <c r="Z108" s="38"/>
    </row>
    <row r="109">
      <c r="A109" s="9"/>
      <c r="B109" s="26"/>
      <c r="C109" s="28"/>
      <c r="D109" s="26"/>
      <c r="E109" s="28"/>
      <c r="F109" s="26"/>
      <c r="G109" s="28"/>
      <c r="H109" s="26"/>
      <c r="I109" s="9"/>
      <c r="J109" s="38"/>
      <c r="K109" s="28"/>
      <c r="L109" s="38"/>
      <c r="M109" s="28"/>
      <c r="N109" s="38"/>
      <c r="O109" s="28"/>
      <c r="P109" s="38"/>
      <c r="Q109" s="28"/>
      <c r="R109" s="38"/>
      <c r="S109" s="28"/>
      <c r="T109" s="38"/>
      <c r="U109" s="28"/>
      <c r="V109" s="38"/>
      <c r="W109" s="28"/>
      <c r="X109" s="38"/>
      <c r="Y109" s="28"/>
      <c r="Z109" s="38"/>
    </row>
    <row r="110">
      <c r="A110" s="9"/>
      <c r="B110" s="26"/>
      <c r="C110" s="28"/>
      <c r="D110" s="26"/>
      <c r="E110" s="28"/>
      <c r="F110" s="26"/>
      <c r="G110" s="28"/>
      <c r="H110" s="26"/>
      <c r="I110" s="9"/>
      <c r="J110" s="38"/>
      <c r="K110" s="28"/>
      <c r="L110" s="38"/>
      <c r="M110" s="28"/>
      <c r="N110" s="38"/>
      <c r="O110" s="28"/>
      <c r="P110" s="38"/>
      <c r="Q110" s="28"/>
      <c r="R110" s="38"/>
      <c r="S110" s="28"/>
      <c r="T110" s="38"/>
      <c r="U110" s="28"/>
      <c r="V110" s="38"/>
      <c r="W110" s="28"/>
      <c r="X110" s="38"/>
      <c r="Y110" s="28"/>
      <c r="Z110" s="38"/>
    </row>
    <row r="111">
      <c r="A111" s="9"/>
      <c r="B111" s="26"/>
      <c r="C111" s="28"/>
      <c r="D111" s="26"/>
      <c r="E111" s="28"/>
      <c r="F111" s="26"/>
      <c r="G111" s="28"/>
      <c r="H111" s="26"/>
      <c r="I111" s="9"/>
      <c r="J111" s="38"/>
      <c r="K111" s="28"/>
      <c r="L111" s="38"/>
      <c r="M111" s="28"/>
      <c r="N111" s="38"/>
      <c r="O111" s="28"/>
      <c r="P111" s="38"/>
      <c r="Q111" s="28"/>
      <c r="R111" s="38"/>
      <c r="S111" s="28"/>
      <c r="T111" s="38"/>
      <c r="U111" s="28"/>
      <c r="V111" s="38"/>
      <c r="W111" s="28"/>
      <c r="X111" s="38"/>
      <c r="Y111" s="28"/>
      <c r="Z111" s="38"/>
    </row>
    <row r="112">
      <c r="A112" s="9"/>
      <c r="B112" s="26"/>
      <c r="C112" s="28"/>
      <c r="D112" s="26"/>
      <c r="E112" s="28"/>
      <c r="F112" s="26"/>
      <c r="G112" s="28"/>
      <c r="H112" s="26"/>
      <c r="I112" s="9"/>
      <c r="J112" s="38"/>
      <c r="K112" s="28"/>
      <c r="L112" s="38"/>
      <c r="M112" s="28"/>
      <c r="N112" s="38"/>
      <c r="O112" s="28"/>
      <c r="P112" s="38"/>
      <c r="Q112" s="28"/>
      <c r="R112" s="38"/>
      <c r="S112" s="28"/>
      <c r="T112" s="38"/>
      <c r="U112" s="28"/>
      <c r="V112" s="38"/>
      <c r="W112" s="28"/>
      <c r="X112" s="38"/>
      <c r="Y112" s="28"/>
      <c r="Z112" s="38"/>
    </row>
    <row r="113">
      <c r="A113" s="9"/>
      <c r="B113" s="26"/>
      <c r="C113" s="28"/>
      <c r="D113" s="26"/>
      <c r="E113" s="28"/>
      <c r="F113" s="26"/>
      <c r="G113" s="28"/>
      <c r="H113" s="26"/>
      <c r="I113" s="9"/>
      <c r="J113" s="38"/>
      <c r="K113" s="28"/>
      <c r="L113" s="38"/>
      <c r="M113" s="28"/>
      <c r="N113" s="38"/>
      <c r="O113" s="28"/>
      <c r="P113" s="38"/>
      <c r="Q113" s="28"/>
      <c r="R113" s="38"/>
      <c r="S113" s="28"/>
      <c r="T113" s="38"/>
      <c r="U113" s="28"/>
      <c r="V113" s="38"/>
      <c r="W113" s="28"/>
      <c r="X113" s="38"/>
      <c r="Y113" s="28"/>
      <c r="Z113" s="38"/>
    </row>
    <row r="114">
      <c r="A114" s="9"/>
      <c r="B114" s="26"/>
      <c r="C114" s="28"/>
      <c r="D114" s="26"/>
      <c r="E114" s="28"/>
      <c r="F114" s="26"/>
      <c r="G114" s="28"/>
      <c r="H114" s="26"/>
      <c r="I114" s="9"/>
      <c r="J114" s="38"/>
      <c r="K114" s="28"/>
      <c r="L114" s="38"/>
      <c r="M114" s="28"/>
      <c r="N114" s="38"/>
      <c r="O114" s="28"/>
      <c r="P114" s="38"/>
      <c r="Q114" s="28"/>
      <c r="R114" s="38"/>
      <c r="S114" s="28"/>
      <c r="T114" s="38"/>
      <c r="U114" s="28"/>
      <c r="V114" s="38"/>
      <c r="W114" s="28"/>
      <c r="X114" s="38"/>
      <c r="Y114" s="28"/>
      <c r="Z114" s="38"/>
    </row>
    <row r="115">
      <c r="A115" s="9"/>
      <c r="B115" s="26"/>
      <c r="C115" s="28"/>
      <c r="D115" s="26"/>
      <c r="E115" s="28"/>
      <c r="F115" s="26"/>
      <c r="G115" s="28"/>
      <c r="H115" s="26"/>
      <c r="I115" s="9"/>
      <c r="J115" s="38"/>
      <c r="K115" s="28"/>
      <c r="L115" s="38"/>
      <c r="M115" s="28"/>
      <c r="N115" s="38"/>
      <c r="O115" s="28"/>
      <c r="P115" s="38"/>
      <c r="Q115" s="28"/>
      <c r="R115" s="38"/>
      <c r="S115" s="28"/>
      <c r="T115" s="38"/>
      <c r="U115" s="28"/>
      <c r="V115" s="38"/>
      <c r="W115" s="28"/>
      <c r="X115" s="38"/>
      <c r="Y115" s="28"/>
      <c r="Z115" s="38"/>
    </row>
    <row r="116">
      <c r="A116" s="9"/>
      <c r="B116" s="26"/>
      <c r="C116" s="28"/>
      <c r="D116" s="26"/>
      <c r="E116" s="28"/>
      <c r="F116" s="26"/>
      <c r="G116" s="28"/>
      <c r="H116" s="26"/>
      <c r="I116" s="9"/>
      <c r="J116" s="38"/>
      <c r="K116" s="28"/>
      <c r="L116" s="38"/>
      <c r="M116" s="28"/>
      <c r="N116" s="38"/>
      <c r="O116" s="28"/>
      <c r="P116" s="38"/>
      <c r="Q116" s="28"/>
      <c r="R116" s="38"/>
      <c r="S116" s="28"/>
      <c r="T116" s="38"/>
      <c r="U116" s="28"/>
      <c r="V116" s="38"/>
      <c r="W116" s="28"/>
      <c r="X116" s="38"/>
      <c r="Y116" s="28"/>
      <c r="Z116" s="38"/>
    </row>
    <row r="117">
      <c r="A117" s="9"/>
      <c r="B117" s="26"/>
      <c r="C117" s="28"/>
      <c r="D117" s="26"/>
      <c r="E117" s="28"/>
      <c r="F117" s="26"/>
      <c r="G117" s="28"/>
      <c r="H117" s="26"/>
      <c r="I117" s="9"/>
      <c r="J117" s="38"/>
      <c r="K117" s="28"/>
      <c r="L117" s="38"/>
      <c r="M117" s="28"/>
      <c r="N117" s="38"/>
      <c r="O117" s="28"/>
      <c r="P117" s="38"/>
      <c r="Q117" s="28"/>
      <c r="R117" s="38"/>
      <c r="S117" s="28"/>
      <c r="T117" s="38"/>
      <c r="U117" s="28"/>
      <c r="V117" s="38"/>
      <c r="W117" s="28"/>
      <c r="X117" s="38"/>
      <c r="Y117" s="28"/>
      <c r="Z117" s="38"/>
    </row>
    <row r="118">
      <c r="A118" s="9"/>
      <c r="B118" s="26"/>
      <c r="C118" s="28"/>
      <c r="D118" s="26"/>
      <c r="E118" s="28"/>
      <c r="F118" s="26"/>
      <c r="G118" s="28"/>
      <c r="H118" s="26"/>
      <c r="I118" s="9"/>
      <c r="J118" s="38"/>
      <c r="K118" s="28"/>
      <c r="L118" s="38"/>
      <c r="M118" s="28"/>
      <c r="N118" s="38"/>
      <c r="O118" s="28"/>
      <c r="P118" s="38"/>
      <c r="Q118" s="28"/>
      <c r="R118" s="38"/>
      <c r="S118" s="28"/>
      <c r="T118" s="38"/>
      <c r="U118" s="28"/>
      <c r="V118" s="38"/>
      <c r="W118" s="28"/>
      <c r="X118" s="38"/>
      <c r="Y118" s="28"/>
      <c r="Z118" s="38"/>
    </row>
    <row r="119">
      <c r="A119" s="9"/>
      <c r="B119" s="26"/>
      <c r="C119" s="28"/>
      <c r="D119" s="26"/>
      <c r="E119" s="28"/>
      <c r="F119" s="26"/>
      <c r="G119" s="28"/>
      <c r="H119" s="26"/>
      <c r="I119" s="9"/>
      <c r="J119" s="38"/>
      <c r="K119" s="28"/>
      <c r="L119" s="38"/>
      <c r="M119" s="28"/>
      <c r="N119" s="38"/>
      <c r="O119" s="28"/>
      <c r="P119" s="38"/>
      <c r="Q119" s="28"/>
      <c r="R119" s="38"/>
      <c r="S119" s="28"/>
      <c r="T119" s="38"/>
      <c r="U119" s="28"/>
      <c r="V119" s="38"/>
      <c r="W119" s="28"/>
      <c r="X119" s="38"/>
      <c r="Y119" s="28"/>
      <c r="Z119" s="38"/>
    </row>
    <row r="120">
      <c r="A120" s="9"/>
      <c r="B120" s="26"/>
      <c r="C120" s="28"/>
      <c r="D120" s="26"/>
      <c r="E120" s="28"/>
      <c r="F120" s="26"/>
      <c r="G120" s="28"/>
      <c r="H120" s="26"/>
      <c r="I120" s="9"/>
      <c r="J120" s="38"/>
      <c r="K120" s="28"/>
      <c r="L120" s="38"/>
      <c r="M120" s="28"/>
      <c r="N120" s="38"/>
      <c r="O120" s="28"/>
      <c r="P120" s="38"/>
      <c r="Q120" s="28"/>
      <c r="R120" s="38"/>
      <c r="S120" s="28"/>
      <c r="T120" s="38"/>
      <c r="U120" s="28"/>
      <c r="V120" s="38"/>
      <c r="W120" s="28"/>
      <c r="X120" s="38"/>
      <c r="Y120" s="28"/>
      <c r="Z120" s="38"/>
    </row>
    <row r="121">
      <c r="A121" s="9"/>
      <c r="B121" s="26"/>
      <c r="C121" s="28"/>
      <c r="D121" s="26"/>
      <c r="E121" s="28"/>
      <c r="F121" s="26"/>
      <c r="G121" s="28"/>
      <c r="H121" s="26"/>
      <c r="I121" s="9"/>
      <c r="J121" s="38"/>
      <c r="K121" s="28"/>
      <c r="L121" s="38"/>
      <c r="M121" s="28"/>
      <c r="N121" s="38"/>
      <c r="O121" s="28"/>
      <c r="P121" s="38"/>
      <c r="Q121" s="28"/>
      <c r="R121" s="38"/>
      <c r="S121" s="28"/>
      <c r="T121" s="38"/>
      <c r="U121" s="28"/>
      <c r="V121" s="38"/>
      <c r="W121" s="28"/>
      <c r="X121" s="38"/>
      <c r="Y121" s="28"/>
      <c r="Z121" s="38"/>
    </row>
    <row r="122">
      <c r="A122" s="9"/>
      <c r="B122" s="26"/>
      <c r="C122" s="28"/>
      <c r="D122" s="26"/>
      <c r="E122" s="28"/>
      <c r="F122" s="26"/>
      <c r="G122" s="28"/>
      <c r="H122" s="26"/>
      <c r="I122" s="9"/>
      <c r="J122" s="38"/>
      <c r="K122" s="28"/>
      <c r="L122" s="38"/>
      <c r="M122" s="28"/>
      <c r="N122" s="38"/>
      <c r="O122" s="28"/>
      <c r="P122" s="38"/>
      <c r="Q122" s="28"/>
      <c r="R122" s="38"/>
      <c r="S122" s="28"/>
      <c r="T122" s="38"/>
      <c r="U122" s="28"/>
      <c r="V122" s="38"/>
      <c r="W122" s="28"/>
      <c r="X122" s="38"/>
      <c r="Y122" s="28"/>
      <c r="Z122" s="38"/>
    </row>
    <row r="123">
      <c r="A123" s="9"/>
      <c r="B123" s="26"/>
      <c r="C123" s="28"/>
      <c r="D123" s="26"/>
      <c r="E123" s="28"/>
      <c r="F123" s="26"/>
      <c r="G123" s="28"/>
      <c r="H123" s="26"/>
      <c r="I123" s="9"/>
      <c r="J123" s="38"/>
      <c r="K123" s="28"/>
      <c r="L123" s="38"/>
      <c r="M123" s="28"/>
      <c r="N123" s="38"/>
      <c r="O123" s="28"/>
      <c r="P123" s="38"/>
      <c r="Q123" s="28"/>
      <c r="R123" s="38"/>
      <c r="S123" s="28"/>
      <c r="T123" s="38"/>
      <c r="U123" s="28"/>
      <c r="V123" s="38"/>
      <c r="W123" s="28"/>
      <c r="X123" s="38"/>
      <c r="Y123" s="28"/>
      <c r="Z123" s="38"/>
    </row>
    <row r="124">
      <c r="A124" s="9"/>
      <c r="B124" s="26"/>
      <c r="C124" s="28"/>
      <c r="D124" s="26"/>
      <c r="E124" s="28"/>
      <c r="F124" s="26"/>
      <c r="G124" s="28"/>
      <c r="H124" s="26"/>
      <c r="I124" s="9"/>
      <c r="J124" s="38"/>
      <c r="K124" s="28"/>
      <c r="L124" s="38"/>
      <c r="M124" s="28"/>
      <c r="N124" s="38"/>
      <c r="O124" s="28"/>
      <c r="P124" s="38"/>
      <c r="Q124" s="28"/>
      <c r="R124" s="38"/>
      <c r="S124" s="28"/>
      <c r="T124" s="38"/>
      <c r="U124" s="28"/>
      <c r="V124" s="38"/>
      <c r="W124" s="28"/>
      <c r="X124" s="38"/>
      <c r="Y124" s="28"/>
      <c r="Z124" s="38"/>
    </row>
    <row r="125">
      <c r="A125" s="9"/>
      <c r="B125" s="26"/>
      <c r="C125" s="28"/>
      <c r="D125" s="26"/>
      <c r="E125" s="28"/>
      <c r="F125" s="26"/>
      <c r="G125" s="28"/>
      <c r="H125" s="26"/>
      <c r="I125" s="9"/>
      <c r="J125" s="38"/>
      <c r="K125" s="28"/>
      <c r="L125" s="38"/>
      <c r="M125" s="28"/>
      <c r="N125" s="38"/>
      <c r="O125" s="28"/>
      <c r="P125" s="38"/>
      <c r="Q125" s="28"/>
      <c r="R125" s="38"/>
      <c r="S125" s="28"/>
      <c r="T125" s="38"/>
      <c r="U125" s="28"/>
      <c r="V125" s="38"/>
      <c r="W125" s="28"/>
      <c r="X125" s="38"/>
      <c r="Y125" s="28"/>
      <c r="Z125" s="38"/>
    </row>
    <row r="126">
      <c r="A126" s="9"/>
      <c r="B126" s="26"/>
      <c r="C126" s="28"/>
      <c r="D126" s="26"/>
      <c r="E126" s="28"/>
      <c r="F126" s="26"/>
      <c r="G126" s="28"/>
      <c r="H126" s="26"/>
      <c r="I126" s="9"/>
      <c r="J126" s="38"/>
      <c r="K126" s="28"/>
      <c r="L126" s="38"/>
      <c r="M126" s="28"/>
      <c r="N126" s="38"/>
      <c r="O126" s="28"/>
      <c r="P126" s="38"/>
      <c r="Q126" s="28"/>
      <c r="R126" s="38"/>
      <c r="S126" s="28"/>
      <c r="T126" s="38"/>
      <c r="U126" s="28"/>
      <c r="V126" s="38"/>
      <c r="W126" s="28"/>
      <c r="X126" s="38"/>
      <c r="Y126" s="28"/>
      <c r="Z126" s="38"/>
    </row>
    <row r="127">
      <c r="A127" s="9"/>
      <c r="B127" s="26"/>
      <c r="C127" s="28"/>
      <c r="D127" s="26"/>
      <c r="E127" s="28"/>
      <c r="F127" s="26"/>
      <c r="G127" s="28"/>
      <c r="H127" s="26"/>
      <c r="I127" s="9"/>
      <c r="J127" s="38"/>
      <c r="K127" s="28"/>
      <c r="L127" s="38"/>
      <c r="M127" s="28"/>
      <c r="N127" s="38"/>
      <c r="O127" s="28"/>
      <c r="P127" s="38"/>
      <c r="Q127" s="28"/>
      <c r="R127" s="38"/>
      <c r="S127" s="28"/>
      <c r="T127" s="38"/>
      <c r="U127" s="28"/>
      <c r="V127" s="38"/>
      <c r="W127" s="28"/>
      <c r="X127" s="38"/>
      <c r="Y127" s="28"/>
      <c r="Z127" s="38"/>
    </row>
    <row r="128">
      <c r="A128" s="9"/>
      <c r="B128" s="26"/>
      <c r="C128" s="28"/>
      <c r="D128" s="26"/>
      <c r="E128" s="28"/>
      <c r="F128" s="26"/>
      <c r="G128" s="28"/>
      <c r="H128" s="26"/>
      <c r="I128" s="9"/>
      <c r="J128" s="38"/>
      <c r="K128" s="28"/>
      <c r="L128" s="38"/>
      <c r="M128" s="28"/>
      <c r="N128" s="38"/>
      <c r="O128" s="28"/>
      <c r="P128" s="38"/>
      <c r="Q128" s="28"/>
      <c r="R128" s="38"/>
      <c r="S128" s="28"/>
      <c r="T128" s="38"/>
      <c r="U128" s="28"/>
      <c r="V128" s="38"/>
      <c r="W128" s="28"/>
      <c r="X128" s="38"/>
      <c r="Y128" s="28"/>
      <c r="Z128" s="38"/>
    </row>
    <row r="129">
      <c r="A129" s="9"/>
      <c r="B129" s="26"/>
      <c r="C129" s="28"/>
      <c r="D129" s="26"/>
      <c r="E129" s="28"/>
      <c r="F129" s="26"/>
      <c r="G129" s="28"/>
      <c r="H129" s="26"/>
      <c r="I129" s="9"/>
      <c r="J129" s="38"/>
      <c r="K129" s="28"/>
      <c r="L129" s="38"/>
      <c r="M129" s="28"/>
      <c r="N129" s="38"/>
      <c r="O129" s="28"/>
      <c r="P129" s="38"/>
      <c r="Q129" s="28"/>
      <c r="R129" s="38"/>
      <c r="S129" s="28"/>
      <c r="T129" s="38"/>
      <c r="U129" s="28"/>
      <c r="V129" s="38"/>
      <c r="W129" s="28"/>
      <c r="X129" s="38"/>
      <c r="Y129" s="28"/>
      <c r="Z129" s="38"/>
    </row>
    <row r="130">
      <c r="A130" s="9"/>
      <c r="B130" s="26"/>
      <c r="C130" s="28"/>
      <c r="D130" s="26"/>
      <c r="E130" s="28"/>
      <c r="F130" s="26"/>
      <c r="G130" s="28"/>
      <c r="H130" s="26"/>
      <c r="I130" s="9"/>
      <c r="J130" s="38"/>
      <c r="K130" s="28"/>
      <c r="L130" s="38"/>
      <c r="M130" s="28"/>
      <c r="N130" s="38"/>
      <c r="O130" s="28"/>
      <c r="P130" s="38"/>
      <c r="Q130" s="28"/>
      <c r="R130" s="38"/>
      <c r="S130" s="28"/>
      <c r="T130" s="38"/>
      <c r="U130" s="28"/>
      <c r="V130" s="38"/>
      <c r="W130" s="28"/>
      <c r="X130" s="38"/>
      <c r="Y130" s="28"/>
      <c r="Z130" s="38"/>
    </row>
    <row r="131">
      <c r="A131" s="9"/>
      <c r="B131" s="26"/>
      <c r="C131" s="28"/>
      <c r="D131" s="26"/>
      <c r="E131" s="28"/>
      <c r="F131" s="26"/>
      <c r="G131" s="28"/>
      <c r="H131" s="26"/>
      <c r="I131" s="9"/>
      <c r="J131" s="38"/>
      <c r="K131" s="28"/>
      <c r="L131" s="38"/>
      <c r="M131" s="28"/>
      <c r="N131" s="38"/>
      <c r="O131" s="28"/>
      <c r="P131" s="38"/>
      <c r="Q131" s="28"/>
      <c r="R131" s="38"/>
      <c r="S131" s="28"/>
      <c r="T131" s="38"/>
      <c r="U131" s="28"/>
      <c r="V131" s="38"/>
      <c r="W131" s="28"/>
      <c r="X131" s="38"/>
      <c r="Y131" s="28"/>
      <c r="Z131" s="38"/>
    </row>
    <row r="132">
      <c r="A132" s="9"/>
      <c r="B132" s="26"/>
      <c r="C132" s="28"/>
      <c r="D132" s="26"/>
      <c r="E132" s="28"/>
      <c r="F132" s="26"/>
      <c r="G132" s="28"/>
      <c r="H132" s="26"/>
      <c r="I132" s="9"/>
      <c r="J132" s="38"/>
      <c r="K132" s="28"/>
      <c r="L132" s="38"/>
      <c r="M132" s="28"/>
      <c r="N132" s="38"/>
      <c r="O132" s="28"/>
      <c r="P132" s="38"/>
      <c r="Q132" s="28"/>
      <c r="R132" s="38"/>
      <c r="S132" s="28"/>
      <c r="T132" s="38"/>
      <c r="U132" s="28"/>
      <c r="V132" s="38"/>
      <c r="W132" s="28"/>
      <c r="X132" s="38"/>
      <c r="Y132" s="28"/>
      <c r="Z132" s="38"/>
    </row>
    <row r="133">
      <c r="A133" s="9"/>
      <c r="B133" s="26"/>
      <c r="C133" s="28"/>
      <c r="D133" s="26"/>
      <c r="E133" s="28"/>
      <c r="F133" s="26"/>
      <c r="G133" s="28"/>
      <c r="H133" s="26"/>
      <c r="I133" s="9"/>
      <c r="J133" s="38"/>
      <c r="K133" s="28"/>
      <c r="L133" s="38"/>
      <c r="M133" s="28"/>
      <c r="N133" s="38"/>
      <c r="O133" s="28"/>
      <c r="P133" s="38"/>
      <c r="Q133" s="28"/>
      <c r="R133" s="38"/>
      <c r="S133" s="28"/>
      <c r="T133" s="38"/>
      <c r="U133" s="28"/>
      <c r="V133" s="38"/>
      <c r="W133" s="28"/>
      <c r="X133" s="38"/>
      <c r="Y133" s="28"/>
      <c r="Z133" s="38"/>
    </row>
    <row r="134">
      <c r="A134" s="9"/>
      <c r="B134" s="26"/>
      <c r="C134" s="28"/>
      <c r="D134" s="26"/>
      <c r="E134" s="28"/>
      <c r="F134" s="26"/>
      <c r="G134" s="28"/>
      <c r="H134" s="26"/>
      <c r="I134" s="9"/>
      <c r="J134" s="38"/>
      <c r="K134" s="28"/>
      <c r="L134" s="38"/>
      <c r="M134" s="28"/>
      <c r="N134" s="38"/>
      <c r="O134" s="28"/>
      <c r="P134" s="38"/>
      <c r="Q134" s="28"/>
      <c r="R134" s="38"/>
      <c r="S134" s="28"/>
      <c r="T134" s="38"/>
      <c r="U134" s="28"/>
      <c r="V134" s="38"/>
      <c r="W134" s="28"/>
      <c r="X134" s="38"/>
      <c r="Y134" s="28"/>
      <c r="Z134" s="38"/>
    </row>
    <row r="135">
      <c r="A135" s="9"/>
      <c r="B135" s="26"/>
      <c r="C135" s="28"/>
      <c r="D135" s="26"/>
      <c r="E135" s="28"/>
      <c r="F135" s="26"/>
      <c r="G135" s="28"/>
      <c r="H135" s="26"/>
      <c r="I135" s="9"/>
      <c r="J135" s="38"/>
      <c r="K135" s="28"/>
      <c r="L135" s="38"/>
      <c r="M135" s="28"/>
      <c r="N135" s="38"/>
      <c r="O135" s="28"/>
      <c r="P135" s="38"/>
      <c r="Q135" s="28"/>
      <c r="R135" s="38"/>
      <c r="S135" s="28"/>
      <c r="T135" s="38"/>
      <c r="U135" s="28"/>
      <c r="V135" s="38"/>
      <c r="W135" s="28"/>
      <c r="X135" s="38"/>
      <c r="Y135" s="28"/>
      <c r="Z135" s="38"/>
    </row>
    <row r="136">
      <c r="A136" s="9"/>
      <c r="B136" s="26"/>
      <c r="C136" s="28"/>
      <c r="D136" s="26"/>
      <c r="E136" s="28"/>
      <c r="F136" s="26"/>
      <c r="G136" s="28"/>
      <c r="H136" s="26"/>
      <c r="I136" s="9"/>
      <c r="J136" s="38"/>
      <c r="K136" s="28"/>
      <c r="L136" s="38"/>
      <c r="M136" s="28"/>
      <c r="N136" s="38"/>
      <c r="O136" s="28"/>
      <c r="P136" s="38"/>
      <c r="Q136" s="28"/>
      <c r="R136" s="38"/>
      <c r="S136" s="28"/>
      <c r="T136" s="38"/>
      <c r="U136" s="28"/>
      <c r="V136" s="38"/>
      <c r="W136" s="28"/>
      <c r="X136" s="38"/>
      <c r="Y136" s="28"/>
      <c r="Z136" s="38"/>
    </row>
    <row r="137">
      <c r="A137" s="9"/>
      <c r="B137" s="26"/>
      <c r="C137" s="28"/>
      <c r="D137" s="26"/>
      <c r="E137" s="28"/>
      <c r="F137" s="26"/>
      <c r="G137" s="28"/>
      <c r="H137" s="26"/>
      <c r="I137" s="9"/>
      <c r="J137" s="38"/>
      <c r="K137" s="28"/>
      <c r="L137" s="38"/>
      <c r="M137" s="28"/>
      <c r="N137" s="38"/>
      <c r="O137" s="28"/>
      <c r="P137" s="38"/>
      <c r="Q137" s="28"/>
      <c r="R137" s="38"/>
      <c r="S137" s="28"/>
      <c r="T137" s="38"/>
      <c r="U137" s="28"/>
      <c r="V137" s="38"/>
      <c r="W137" s="28"/>
      <c r="X137" s="38"/>
      <c r="Y137" s="28"/>
      <c r="Z137" s="38"/>
    </row>
    <row r="138">
      <c r="A138" s="9"/>
      <c r="B138" s="26"/>
      <c r="C138" s="28"/>
      <c r="D138" s="26"/>
      <c r="E138" s="28"/>
      <c r="F138" s="26"/>
      <c r="G138" s="28"/>
      <c r="H138" s="26"/>
      <c r="I138" s="9"/>
      <c r="J138" s="38"/>
      <c r="K138" s="28"/>
      <c r="L138" s="38"/>
      <c r="M138" s="28"/>
      <c r="N138" s="38"/>
      <c r="O138" s="28"/>
      <c r="P138" s="38"/>
      <c r="Q138" s="28"/>
      <c r="R138" s="38"/>
      <c r="S138" s="28"/>
      <c r="T138" s="38"/>
      <c r="U138" s="28"/>
      <c r="V138" s="38"/>
      <c r="W138" s="28"/>
      <c r="X138" s="38"/>
      <c r="Y138" s="28"/>
      <c r="Z138" s="38"/>
    </row>
    <row r="139">
      <c r="A139" s="9"/>
      <c r="B139" s="26"/>
      <c r="C139" s="28"/>
      <c r="D139" s="26"/>
      <c r="E139" s="28"/>
      <c r="F139" s="26"/>
      <c r="G139" s="28"/>
      <c r="H139" s="26"/>
      <c r="I139" s="9"/>
      <c r="J139" s="38"/>
      <c r="K139" s="28"/>
      <c r="L139" s="38"/>
      <c r="M139" s="28"/>
      <c r="N139" s="38"/>
      <c r="O139" s="28"/>
      <c r="P139" s="38"/>
      <c r="Q139" s="28"/>
      <c r="R139" s="38"/>
      <c r="S139" s="28"/>
      <c r="T139" s="38"/>
      <c r="U139" s="28"/>
      <c r="V139" s="38"/>
      <c r="W139" s="28"/>
      <c r="X139" s="38"/>
      <c r="Y139" s="28"/>
      <c r="Z139" s="38"/>
    </row>
    <row r="140">
      <c r="A140" s="9"/>
      <c r="B140" s="26"/>
      <c r="C140" s="28"/>
      <c r="D140" s="26"/>
      <c r="E140" s="28"/>
      <c r="F140" s="26"/>
      <c r="G140" s="28"/>
      <c r="H140" s="26"/>
      <c r="I140" s="9"/>
      <c r="J140" s="38"/>
      <c r="K140" s="28"/>
      <c r="L140" s="38"/>
      <c r="M140" s="28"/>
      <c r="N140" s="38"/>
      <c r="O140" s="28"/>
      <c r="P140" s="38"/>
      <c r="Q140" s="28"/>
      <c r="R140" s="38"/>
      <c r="S140" s="28"/>
      <c r="T140" s="38"/>
      <c r="U140" s="28"/>
      <c r="V140" s="38"/>
      <c r="W140" s="28"/>
      <c r="X140" s="38"/>
      <c r="Y140" s="28"/>
      <c r="Z140" s="38"/>
    </row>
    <row r="141">
      <c r="A141" s="9"/>
      <c r="B141" s="26"/>
      <c r="C141" s="28"/>
      <c r="D141" s="26"/>
      <c r="E141" s="28"/>
      <c r="F141" s="26"/>
      <c r="G141" s="28"/>
      <c r="H141" s="26"/>
      <c r="I141" s="9"/>
      <c r="J141" s="38"/>
      <c r="K141" s="28"/>
      <c r="L141" s="38"/>
      <c r="M141" s="28"/>
      <c r="N141" s="38"/>
      <c r="O141" s="28"/>
      <c r="P141" s="38"/>
      <c r="Q141" s="28"/>
      <c r="R141" s="38"/>
      <c r="S141" s="28"/>
      <c r="T141" s="38"/>
      <c r="U141" s="28"/>
      <c r="V141" s="38"/>
      <c r="W141" s="28"/>
      <c r="X141" s="38"/>
      <c r="Y141" s="28"/>
      <c r="Z141" s="38"/>
    </row>
    <row r="142">
      <c r="A142" s="9"/>
      <c r="B142" s="26"/>
      <c r="C142" s="28"/>
      <c r="D142" s="26"/>
      <c r="E142" s="28"/>
      <c r="F142" s="26"/>
      <c r="G142" s="28"/>
      <c r="H142" s="26"/>
      <c r="I142" s="9"/>
      <c r="J142" s="38"/>
      <c r="K142" s="28"/>
      <c r="L142" s="38"/>
      <c r="M142" s="28"/>
      <c r="N142" s="38"/>
      <c r="O142" s="28"/>
      <c r="P142" s="38"/>
      <c r="Q142" s="28"/>
      <c r="R142" s="38"/>
      <c r="S142" s="28"/>
      <c r="T142" s="38"/>
      <c r="U142" s="28"/>
      <c r="V142" s="38"/>
      <c r="W142" s="28"/>
      <c r="X142" s="38"/>
      <c r="Y142" s="28"/>
      <c r="Z142" s="38"/>
    </row>
    <row r="143">
      <c r="A143" s="9"/>
      <c r="B143" s="26"/>
      <c r="C143" s="28"/>
      <c r="D143" s="26"/>
      <c r="E143" s="28"/>
      <c r="F143" s="26"/>
      <c r="G143" s="28"/>
      <c r="H143" s="26"/>
      <c r="I143" s="9"/>
      <c r="J143" s="38"/>
      <c r="K143" s="28"/>
      <c r="L143" s="38"/>
      <c r="M143" s="28"/>
      <c r="N143" s="38"/>
      <c r="O143" s="28"/>
      <c r="P143" s="38"/>
      <c r="Q143" s="28"/>
      <c r="R143" s="38"/>
      <c r="S143" s="28"/>
      <c r="T143" s="38"/>
      <c r="U143" s="28"/>
      <c r="V143" s="38"/>
      <c r="W143" s="28"/>
      <c r="X143" s="38"/>
      <c r="Y143" s="28"/>
      <c r="Z143" s="38"/>
    </row>
    <row r="144">
      <c r="A144" s="9"/>
      <c r="B144" s="26"/>
      <c r="C144" s="28"/>
      <c r="D144" s="26"/>
      <c r="E144" s="28"/>
      <c r="F144" s="26"/>
      <c r="G144" s="28"/>
      <c r="H144" s="26"/>
      <c r="I144" s="9"/>
      <c r="J144" s="38"/>
      <c r="K144" s="28"/>
      <c r="L144" s="38"/>
      <c r="M144" s="28"/>
      <c r="N144" s="38"/>
      <c r="O144" s="28"/>
      <c r="P144" s="38"/>
      <c r="Q144" s="28"/>
      <c r="R144" s="38"/>
      <c r="S144" s="28"/>
      <c r="T144" s="38"/>
      <c r="U144" s="28"/>
      <c r="V144" s="38"/>
      <c r="W144" s="28"/>
      <c r="X144" s="38"/>
      <c r="Y144" s="28"/>
      <c r="Z144" s="38"/>
    </row>
    <row r="145">
      <c r="A145" s="9"/>
      <c r="B145" s="26"/>
      <c r="C145" s="28"/>
      <c r="D145" s="26"/>
      <c r="E145" s="28"/>
      <c r="F145" s="26"/>
      <c r="G145" s="28"/>
      <c r="H145" s="26"/>
      <c r="I145" s="9"/>
      <c r="J145" s="38"/>
      <c r="K145" s="28"/>
      <c r="L145" s="38"/>
      <c r="M145" s="28"/>
      <c r="N145" s="38"/>
      <c r="O145" s="28"/>
      <c r="P145" s="38"/>
      <c r="Q145" s="28"/>
      <c r="R145" s="38"/>
      <c r="S145" s="28"/>
      <c r="T145" s="38"/>
      <c r="U145" s="28"/>
      <c r="V145" s="38"/>
      <c r="W145" s="28"/>
      <c r="X145" s="38"/>
      <c r="Y145" s="28"/>
      <c r="Z145" s="38"/>
    </row>
    <row r="146">
      <c r="A146" s="9"/>
      <c r="B146" s="26"/>
      <c r="C146" s="28"/>
      <c r="D146" s="26"/>
      <c r="E146" s="28"/>
      <c r="F146" s="26"/>
      <c r="G146" s="28"/>
      <c r="H146" s="26"/>
      <c r="I146" s="9"/>
      <c r="J146" s="38"/>
      <c r="K146" s="28"/>
      <c r="L146" s="38"/>
      <c r="M146" s="28"/>
      <c r="N146" s="38"/>
      <c r="O146" s="28"/>
      <c r="P146" s="38"/>
      <c r="Q146" s="28"/>
      <c r="R146" s="38"/>
      <c r="S146" s="28"/>
      <c r="T146" s="38"/>
      <c r="U146" s="28"/>
      <c r="V146" s="38"/>
      <c r="W146" s="28"/>
      <c r="X146" s="38"/>
      <c r="Y146" s="28"/>
      <c r="Z146" s="38"/>
    </row>
    <row r="147">
      <c r="A147" s="9"/>
      <c r="B147" s="26"/>
      <c r="C147" s="28"/>
      <c r="D147" s="26"/>
      <c r="E147" s="28"/>
      <c r="F147" s="26"/>
      <c r="G147" s="28"/>
      <c r="H147" s="26"/>
      <c r="I147" s="9"/>
      <c r="J147" s="38"/>
      <c r="K147" s="28"/>
      <c r="L147" s="38"/>
      <c r="M147" s="28"/>
      <c r="N147" s="38"/>
      <c r="O147" s="28"/>
      <c r="P147" s="38"/>
      <c r="Q147" s="28"/>
      <c r="R147" s="38"/>
      <c r="S147" s="28"/>
      <c r="T147" s="38"/>
      <c r="U147" s="28"/>
      <c r="V147" s="38"/>
      <c r="W147" s="28"/>
      <c r="X147" s="38"/>
      <c r="Y147" s="28"/>
      <c r="Z147" s="38"/>
    </row>
    <row r="148">
      <c r="A148" s="9"/>
      <c r="B148" s="26"/>
      <c r="C148" s="28"/>
      <c r="D148" s="26"/>
      <c r="E148" s="28"/>
      <c r="F148" s="26"/>
      <c r="G148" s="28"/>
      <c r="H148" s="26"/>
      <c r="I148" s="9"/>
      <c r="J148" s="38"/>
      <c r="K148" s="28"/>
      <c r="L148" s="38"/>
      <c r="M148" s="28"/>
      <c r="N148" s="38"/>
      <c r="O148" s="28"/>
      <c r="P148" s="38"/>
      <c r="Q148" s="28"/>
      <c r="R148" s="38"/>
      <c r="S148" s="28"/>
      <c r="T148" s="38"/>
      <c r="U148" s="28"/>
      <c r="V148" s="38"/>
      <c r="W148" s="28"/>
      <c r="X148" s="38"/>
      <c r="Y148" s="28"/>
      <c r="Z148" s="38"/>
    </row>
    <row r="149">
      <c r="A149" s="9"/>
      <c r="B149" s="26"/>
      <c r="C149" s="28"/>
      <c r="D149" s="26"/>
      <c r="E149" s="28"/>
      <c r="F149" s="26"/>
      <c r="G149" s="28"/>
      <c r="H149" s="26"/>
      <c r="I149" s="9"/>
      <c r="J149" s="38"/>
      <c r="K149" s="28"/>
      <c r="L149" s="38"/>
      <c r="M149" s="28"/>
      <c r="N149" s="38"/>
      <c r="O149" s="28"/>
      <c r="P149" s="38"/>
      <c r="Q149" s="28"/>
      <c r="R149" s="38"/>
      <c r="S149" s="28"/>
      <c r="T149" s="38"/>
      <c r="U149" s="28"/>
      <c r="V149" s="38"/>
      <c r="W149" s="28"/>
      <c r="X149" s="38"/>
      <c r="Y149" s="28"/>
      <c r="Z149" s="38"/>
    </row>
    <row r="150">
      <c r="A150" s="9"/>
      <c r="B150" s="26"/>
      <c r="C150" s="28"/>
      <c r="D150" s="26"/>
      <c r="E150" s="28"/>
      <c r="F150" s="26"/>
      <c r="G150" s="28"/>
      <c r="H150" s="26"/>
      <c r="I150" s="9"/>
      <c r="J150" s="38"/>
      <c r="K150" s="28"/>
      <c r="L150" s="38"/>
      <c r="M150" s="28"/>
      <c r="N150" s="38"/>
      <c r="O150" s="28"/>
      <c r="P150" s="38"/>
      <c r="Q150" s="28"/>
      <c r="R150" s="38"/>
      <c r="S150" s="28"/>
      <c r="T150" s="38"/>
      <c r="U150" s="28"/>
      <c r="V150" s="38"/>
      <c r="W150" s="28"/>
      <c r="X150" s="38"/>
      <c r="Y150" s="28"/>
      <c r="Z150" s="38"/>
    </row>
    <row r="151">
      <c r="A151" s="9"/>
      <c r="B151" s="26"/>
      <c r="C151" s="28"/>
      <c r="D151" s="26"/>
      <c r="E151" s="28"/>
      <c r="F151" s="26"/>
      <c r="G151" s="28"/>
      <c r="H151" s="26"/>
      <c r="I151" s="9"/>
      <c r="J151" s="38"/>
      <c r="K151" s="28"/>
      <c r="L151" s="38"/>
      <c r="M151" s="28"/>
      <c r="N151" s="38"/>
      <c r="O151" s="28"/>
      <c r="P151" s="38"/>
      <c r="Q151" s="28"/>
      <c r="R151" s="38"/>
      <c r="S151" s="28"/>
      <c r="T151" s="38"/>
      <c r="U151" s="28"/>
      <c r="V151" s="38"/>
      <c r="W151" s="28"/>
      <c r="X151" s="38"/>
      <c r="Y151" s="28"/>
      <c r="Z151" s="38"/>
    </row>
    <row r="152">
      <c r="A152" s="9"/>
      <c r="B152" s="26"/>
      <c r="C152" s="28"/>
      <c r="D152" s="26"/>
      <c r="E152" s="28"/>
      <c r="F152" s="26"/>
      <c r="G152" s="28"/>
      <c r="H152" s="26"/>
      <c r="I152" s="9"/>
      <c r="J152" s="38"/>
      <c r="K152" s="28"/>
      <c r="L152" s="38"/>
      <c r="M152" s="28"/>
      <c r="N152" s="38"/>
      <c r="O152" s="28"/>
      <c r="P152" s="38"/>
      <c r="Q152" s="28"/>
      <c r="R152" s="38"/>
      <c r="S152" s="28"/>
      <c r="T152" s="38"/>
      <c r="U152" s="28"/>
      <c r="V152" s="38"/>
      <c r="W152" s="28"/>
      <c r="X152" s="38"/>
      <c r="Y152" s="28"/>
      <c r="Z152" s="38"/>
    </row>
    <row r="153">
      <c r="A153" s="9"/>
      <c r="B153" s="26"/>
      <c r="C153" s="28"/>
      <c r="D153" s="26"/>
      <c r="E153" s="28"/>
      <c r="F153" s="26"/>
      <c r="G153" s="28"/>
      <c r="H153" s="26"/>
      <c r="I153" s="9"/>
      <c r="J153" s="38"/>
      <c r="K153" s="28"/>
      <c r="L153" s="38"/>
      <c r="M153" s="28"/>
      <c r="N153" s="38"/>
      <c r="O153" s="28"/>
      <c r="P153" s="38"/>
      <c r="Q153" s="28"/>
      <c r="R153" s="38"/>
      <c r="S153" s="28"/>
      <c r="T153" s="38"/>
      <c r="U153" s="28"/>
      <c r="V153" s="38"/>
      <c r="W153" s="28"/>
      <c r="X153" s="38"/>
      <c r="Y153" s="28"/>
      <c r="Z153" s="38"/>
    </row>
    <row r="154">
      <c r="A154" s="9"/>
      <c r="B154" s="26"/>
      <c r="C154" s="28"/>
      <c r="D154" s="26"/>
      <c r="E154" s="28"/>
      <c r="F154" s="26"/>
      <c r="G154" s="28"/>
      <c r="H154" s="26"/>
      <c r="I154" s="9"/>
      <c r="J154" s="38"/>
      <c r="K154" s="28"/>
      <c r="L154" s="38"/>
      <c r="M154" s="28"/>
      <c r="N154" s="38"/>
      <c r="O154" s="28"/>
      <c r="P154" s="38"/>
      <c r="Q154" s="28"/>
      <c r="R154" s="38"/>
      <c r="S154" s="28"/>
      <c r="T154" s="38"/>
      <c r="U154" s="28"/>
      <c r="V154" s="38"/>
      <c r="W154" s="28"/>
      <c r="X154" s="38"/>
      <c r="Y154" s="28"/>
      <c r="Z154" s="38"/>
    </row>
    <row r="155">
      <c r="A155" s="9"/>
      <c r="B155" s="26"/>
      <c r="C155" s="28"/>
      <c r="D155" s="26"/>
      <c r="E155" s="28"/>
      <c r="F155" s="26"/>
      <c r="G155" s="28"/>
      <c r="H155" s="26"/>
      <c r="I155" s="9"/>
      <c r="J155" s="38"/>
      <c r="K155" s="28"/>
      <c r="L155" s="38"/>
      <c r="M155" s="28"/>
      <c r="N155" s="38"/>
      <c r="O155" s="28"/>
      <c r="P155" s="38"/>
      <c r="Q155" s="28"/>
      <c r="R155" s="38"/>
      <c r="S155" s="28"/>
      <c r="T155" s="38"/>
      <c r="U155" s="28"/>
      <c r="V155" s="38"/>
      <c r="W155" s="28"/>
      <c r="X155" s="38"/>
      <c r="Y155" s="28"/>
      <c r="Z155" s="38"/>
    </row>
    <row r="156">
      <c r="A156" s="9"/>
      <c r="B156" s="26"/>
      <c r="C156" s="28"/>
      <c r="D156" s="26"/>
      <c r="E156" s="28"/>
      <c r="F156" s="26"/>
      <c r="G156" s="28"/>
      <c r="H156" s="26"/>
      <c r="I156" s="9"/>
      <c r="J156" s="38"/>
      <c r="K156" s="28"/>
      <c r="L156" s="38"/>
      <c r="M156" s="28"/>
      <c r="N156" s="38"/>
      <c r="O156" s="28"/>
      <c r="P156" s="38"/>
      <c r="Q156" s="28"/>
      <c r="R156" s="38"/>
      <c r="S156" s="28"/>
      <c r="T156" s="38"/>
      <c r="U156" s="28"/>
      <c r="V156" s="38"/>
      <c r="W156" s="28"/>
      <c r="X156" s="38"/>
      <c r="Y156" s="28"/>
      <c r="Z156" s="38"/>
    </row>
    <row r="157">
      <c r="A157" s="9"/>
      <c r="B157" s="26"/>
      <c r="C157" s="28"/>
      <c r="D157" s="26"/>
      <c r="E157" s="28"/>
      <c r="F157" s="26"/>
      <c r="G157" s="28"/>
      <c r="H157" s="26"/>
      <c r="I157" s="9"/>
      <c r="J157" s="38"/>
      <c r="K157" s="28"/>
      <c r="L157" s="38"/>
      <c r="M157" s="28"/>
      <c r="N157" s="38"/>
      <c r="O157" s="28"/>
      <c r="P157" s="38"/>
      <c r="Q157" s="28"/>
      <c r="R157" s="38"/>
      <c r="S157" s="28"/>
      <c r="T157" s="38"/>
      <c r="U157" s="28"/>
      <c r="V157" s="38"/>
      <c r="W157" s="28"/>
      <c r="X157" s="38"/>
      <c r="Y157" s="28"/>
      <c r="Z157" s="38"/>
    </row>
    <row r="158">
      <c r="A158" s="9"/>
      <c r="B158" s="26"/>
      <c r="C158" s="28"/>
      <c r="D158" s="26"/>
      <c r="E158" s="28"/>
      <c r="F158" s="26"/>
      <c r="G158" s="28"/>
      <c r="H158" s="26"/>
      <c r="I158" s="9"/>
      <c r="J158" s="38"/>
      <c r="K158" s="28"/>
      <c r="L158" s="38"/>
      <c r="M158" s="28"/>
      <c r="N158" s="38"/>
      <c r="O158" s="28"/>
      <c r="P158" s="38"/>
      <c r="Q158" s="28"/>
      <c r="R158" s="38"/>
      <c r="S158" s="28"/>
      <c r="T158" s="38"/>
      <c r="U158" s="28"/>
      <c r="V158" s="38"/>
      <c r="W158" s="28"/>
      <c r="X158" s="38"/>
      <c r="Y158" s="28"/>
      <c r="Z158" s="38"/>
    </row>
    <row r="159">
      <c r="A159" s="9"/>
      <c r="B159" s="26"/>
      <c r="C159" s="28"/>
      <c r="D159" s="26"/>
      <c r="E159" s="28"/>
      <c r="F159" s="26"/>
      <c r="G159" s="28"/>
      <c r="H159" s="26"/>
      <c r="I159" s="9"/>
      <c r="J159" s="38"/>
      <c r="K159" s="28"/>
      <c r="L159" s="38"/>
      <c r="M159" s="28"/>
      <c r="N159" s="38"/>
      <c r="O159" s="28"/>
      <c r="P159" s="38"/>
      <c r="Q159" s="28"/>
      <c r="R159" s="38"/>
      <c r="S159" s="28"/>
      <c r="T159" s="38"/>
      <c r="U159" s="28"/>
      <c r="V159" s="38"/>
      <c r="W159" s="28"/>
      <c r="X159" s="38"/>
      <c r="Y159" s="28"/>
      <c r="Z159" s="38"/>
    </row>
    <row r="160">
      <c r="A160" s="9"/>
      <c r="B160" s="26"/>
      <c r="C160" s="28"/>
      <c r="D160" s="26"/>
      <c r="E160" s="28"/>
      <c r="F160" s="26"/>
      <c r="G160" s="28"/>
      <c r="H160" s="26"/>
      <c r="I160" s="9"/>
      <c r="J160" s="38"/>
      <c r="K160" s="28"/>
      <c r="L160" s="38"/>
      <c r="M160" s="28"/>
      <c r="N160" s="38"/>
      <c r="O160" s="28"/>
      <c r="P160" s="38"/>
      <c r="Q160" s="28"/>
      <c r="R160" s="38"/>
      <c r="S160" s="28"/>
      <c r="T160" s="38"/>
      <c r="U160" s="28"/>
      <c r="V160" s="38"/>
      <c r="W160" s="28"/>
      <c r="X160" s="38"/>
      <c r="Y160" s="28"/>
      <c r="Z160" s="38"/>
    </row>
    <row r="161">
      <c r="A161" s="9"/>
      <c r="B161" s="26"/>
      <c r="C161" s="28"/>
      <c r="D161" s="26"/>
      <c r="E161" s="28"/>
      <c r="F161" s="26"/>
      <c r="G161" s="28"/>
      <c r="H161" s="26"/>
      <c r="I161" s="9"/>
      <c r="J161" s="38"/>
      <c r="K161" s="28"/>
      <c r="L161" s="38"/>
      <c r="M161" s="28"/>
      <c r="N161" s="38"/>
      <c r="O161" s="28"/>
      <c r="P161" s="38"/>
      <c r="Q161" s="28"/>
      <c r="R161" s="38"/>
      <c r="S161" s="28"/>
      <c r="T161" s="38"/>
      <c r="U161" s="28"/>
      <c r="V161" s="38"/>
      <c r="W161" s="28"/>
      <c r="X161" s="38"/>
      <c r="Y161" s="28"/>
      <c r="Z161" s="38"/>
    </row>
    <row r="162">
      <c r="A162" s="9"/>
      <c r="B162" s="26"/>
      <c r="C162" s="28"/>
      <c r="D162" s="26"/>
      <c r="E162" s="28"/>
      <c r="F162" s="26"/>
      <c r="G162" s="28"/>
      <c r="H162" s="26"/>
      <c r="I162" s="9"/>
      <c r="J162" s="38"/>
      <c r="K162" s="28"/>
      <c r="L162" s="38"/>
      <c r="M162" s="28"/>
      <c r="N162" s="38"/>
      <c r="O162" s="28"/>
      <c r="P162" s="38"/>
      <c r="Q162" s="28"/>
      <c r="R162" s="38"/>
      <c r="S162" s="28"/>
      <c r="T162" s="38"/>
      <c r="U162" s="28"/>
      <c r="V162" s="38"/>
      <c r="W162" s="28"/>
      <c r="X162" s="38"/>
      <c r="Y162" s="28"/>
      <c r="Z162" s="38"/>
    </row>
    <row r="163">
      <c r="A163" s="9"/>
      <c r="B163" s="26"/>
      <c r="C163" s="28"/>
      <c r="D163" s="26"/>
      <c r="E163" s="28"/>
      <c r="F163" s="26"/>
      <c r="G163" s="28"/>
      <c r="H163" s="26"/>
      <c r="I163" s="9"/>
      <c r="J163" s="38"/>
      <c r="K163" s="28"/>
      <c r="L163" s="38"/>
      <c r="M163" s="28"/>
      <c r="N163" s="38"/>
      <c r="O163" s="28"/>
      <c r="P163" s="38"/>
      <c r="Q163" s="28"/>
      <c r="R163" s="38"/>
      <c r="S163" s="28"/>
      <c r="T163" s="38"/>
      <c r="U163" s="28"/>
      <c r="V163" s="38"/>
      <c r="W163" s="28"/>
      <c r="X163" s="38"/>
      <c r="Y163" s="28"/>
      <c r="Z163" s="38"/>
    </row>
    <row r="164">
      <c r="A164" s="9"/>
      <c r="B164" s="26"/>
      <c r="C164" s="28"/>
      <c r="D164" s="26"/>
      <c r="E164" s="28"/>
      <c r="F164" s="26"/>
      <c r="G164" s="28"/>
      <c r="H164" s="26"/>
      <c r="I164" s="9"/>
      <c r="J164" s="38"/>
      <c r="K164" s="28"/>
      <c r="L164" s="38"/>
      <c r="M164" s="28"/>
      <c r="N164" s="38"/>
      <c r="O164" s="28"/>
      <c r="P164" s="38"/>
      <c r="Q164" s="28"/>
      <c r="R164" s="38"/>
      <c r="S164" s="28"/>
      <c r="T164" s="38"/>
      <c r="U164" s="28"/>
      <c r="V164" s="38"/>
      <c r="W164" s="28"/>
      <c r="X164" s="38"/>
      <c r="Y164" s="28"/>
      <c r="Z164" s="38"/>
    </row>
    <row r="165">
      <c r="A165" s="9"/>
      <c r="B165" s="26"/>
      <c r="C165" s="28"/>
      <c r="D165" s="26"/>
      <c r="E165" s="28"/>
      <c r="F165" s="26"/>
      <c r="G165" s="28"/>
      <c r="H165" s="26"/>
      <c r="I165" s="9"/>
      <c r="J165" s="38"/>
      <c r="K165" s="28"/>
      <c r="L165" s="38"/>
      <c r="M165" s="28"/>
      <c r="N165" s="38"/>
      <c r="O165" s="28"/>
      <c r="P165" s="38"/>
      <c r="Q165" s="28"/>
      <c r="R165" s="38"/>
      <c r="S165" s="28"/>
      <c r="T165" s="38"/>
      <c r="U165" s="28"/>
      <c r="V165" s="38"/>
      <c r="W165" s="28"/>
      <c r="X165" s="38"/>
      <c r="Y165" s="28"/>
      <c r="Z165" s="38"/>
    </row>
    <row r="166">
      <c r="A166" s="9"/>
      <c r="B166" s="26"/>
      <c r="C166" s="28"/>
      <c r="D166" s="26"/>
      <c r="E166" s="28"/>
      <c r="F166" s="26"/>
      <c r="G166" s="28"/>
      <c r="H166" s="26"/>
      <c r="I166" s="9"/>
      <c r="J166" s="38"/>
      <c r="K166" s="28"/>
      <c r="L166" s="38"/>
      <c r="M166" s="28"/>
      <c r="N166" s="38"/>
      <c r="O166" s="28"/>
      <c r="P166" s="38"/>
      <c r="Q166" s="28"/>
      <c r="R166" s="38"/>
      <c r="S166" s="28"/>
      <c r="T166" s="38"/>
      <c r="U166" s="28"/>
      <c r="V166" s="38"/>
      <c r="W166" s="28"/>
      <c r="X166" s="38"/>
      <c r="Y166" s="28"/>
      <c r="Z166" s="38"/>
    </row>
    <row r="167">
      <c r="A167" s="9"/>
      <c r="B167" s="26"/>
      <c r="C167" s="28"/>
      <c r="D167" s="26"/>
      <c r="E167" s="28"/>
      <c r="F167" s="26"/>
      <c r="G167" s="28"/>
      <c r="H167" s="26"/>
      <c r="I167" s="9"/>
      <c r="J167" s="38"/>
      <c r="K167" s="28"/>
      <c r="L167" s="38"/>
      <c r="M167" s="28"/>
      <c r="N167" s="38"/>
      <c r="O167" s="28"/>
      <c r="P167" s="38"/>
      <c r="Q167" s="28"/>
      <c r="R167" s="38"/>
      <c r="S167" s="28"/>
      <c r="T167" s="38"/>
      <c r="U167" s="28"/>
      <c r="V167" s="38"/>
      <c r="W167" s="28"/>
      <c r="X167" s="38"/>
      <c r="Y167" s="28"/>
      <c r="Z167" s="38"/>
    </row>
    <row r="168">
      <c r="A168" s="9"/>
      <c r="B168" s="26"/>
      <c r="C168" s="28"/>
      <c r="D168" s="26"/>
      <c r="E168" s="28"/>
      <c r="F168" s="26"/>
      <c r="G168" s="28"/>
      <c r="H168" s="26"/>
      <c r="I168" s="9"/>
      <c r="J168" s="38"/>
      <c r="K168" s="28"/>
      <c r="L168" s="38"/>
      <c r="M168" s="28"/>
      <c r="N168" s="38"/>
      <c r="O168" s="28"/>
      <c r="P168" s="38"/>
      <c r="Q168" s="28"/>
      <c r="R168" s="38"/>
      <c r="S168" s="28"/>
      <c r="T168" s="38"/>
      <c r="U168" s="28"/>
      <c r="V168" s="38"/>
      <c r="W168" s="28"/>
      <c r="X168" s="38"/>
      <c r="Y168" s="28"/>
      <c r="Z168" s="38"/>
    </row>
    <row r="169">
      <c r="A169" s="9"/>
      <c r="B169" s="26"/>
      <c r="C169" s="28"/>
      <c r="D169" s="26"/>
      <c r="E169" s="28"/>
      <c r="F169" s="26"/>
      <c r="G169" s="28"/>
      <c r="H169" s="26"/>
      <c r="I169" s="9"/>
      <c r="J169" s="38"/>
      <c r="K169" s="28"/>
      <c r="L169" s="38"/>
      <c r="M169" s="28"/>
      <c r="N169" s="38"/>
      <c r="O169" s="28"/>
      <c r="P169" s="38"/>
      <c r="Q169" s="28"/>
      <c r="R169" s="38"/>
      <c r="S169" s="28"/>
      <c r="T169" s="38"/>
      <c r="U169" s="28"/>
      <c r="V169" s="38"/>
      <c r="W169" s="28"/>
      <c r="X169" s="38"/>
      <c r="Y169" s="28"/>
      <c r="Z169" s="38"/>
    </row>
    <row r="170">
      <c r="A170" s="9"/>
      <c r="B170" s="26"/>
      <c r="C170" s="28"/>
      <c r="D170" s="26"/>
      <c r="E170" s="28"/>
      <c r="F170" s="26"/>
      <c r="G170" s="28"/>
      <c r="H170" s="26"/>
      <c r="I170" s="9"/>
      <c r="J170" s="38"/>
      <c r="K170" s="28"/>
      <c r="L170" s="38"/>
      <c r="M170" s="28"/>
      <c r="N170" s="38"/>
      <c r="O170" s="28"/>
      <c r="P170" s="38"/>
      <c r="Q170" s="28"/>
      <c r="R170" s="38"/>
      <c r="S170" s="28"/>
      <c r="T170" s="38"/>
      <c r="U170" s="28"/>
      <c r="V170" s="38"/>
      <c r="W170" s="28"/>
      <c r="X170" s="38"/>
      <c r="Y170" s="28"/>
      <c r="Z170" s="38"/>
    </row>
    <row r="171">
      <c r="A171" s="9"/>
      <c r="B171" s="26"/>
      <c r="C171" s="28"/>
      <c r="D171" s="26"/>
      <c r="E171" s="28"/>
      <c r="F171" s="26"/>
      <c r="G171" s="28"/>
      <c r="H171" s="26"/>
      <c r="I171" s="9"/>
      <c r="J171" s="38"/>
      <c r="K171" s="28"/>
      <c r="L171" s="38"/>
      <c r="M171" s="28"/>
      <c r="N171" s="38"/>
      <c r="O171" s="28"/>
      <c r="P171" s="38"/>
      <c r="Q171" s="28"/>
      <c r="R171" s="38"/>
      <c r="S171" s="28"/>
      <c r="T171" s="38"/>
      <c r="U171" s="28"/>
      <c r="V171" s="38"/>
      <c r="W171" s="28"/>
      <c r="X171" s="38"/>
      <c r="Y171" s="28"/>
      <c r="Z171" s="38"/>
    </row>
    <row r="172">
      <c r="A172" s="9"/>
      <c r="B172" s="26"/>
      <c r="C172" s="28"/>
      <c r="D172" s="26"/>
      <c r="E172" s="28"/>
      <c r="F172" s="26"/>
      <c r="G172" s="28"/>
      <c r="H172" s="26"/>
      <c r="I172" s="9"/>
      <c r="J172" s="38"/>
      <c r="K172" s="28"/>
      <c r="L172" s="38"/>
      <c r="M172" s="28"/>
      <c r="N172" s="38"/>
      <c r="O172" s="28"/>
      <c r="P172" s="38"/>
      <c r="Q172" s="28"/>
      <c r="R172" s="38"/>
      <c r="S172" s="28"/>
      <c r="T172" s="38"/>
      <c r="U172" s="28"/>
      <c r="V172" s="38"/>
      <c r="W172" s="28"/>
      <c r="X172" s="38"/>
      <c r="Y172" s="28"/>
      <c r="Z172" s="38"/>
    </row>
    <row r="173">
      <c r="A173" s="9"/>
      <c r="B173" s="26"/>
      <c r="C173" s="28"/>
      <c r="D173" s="26"/>
      <c r="E173" s="28"/>
      <c r="F173" s="26"/>
      <c r="G173" s="28"/>
      <c r="H173" s="26"/>
      <c r="I173" s="9"/>
      <c r="J173" s="38"/>
      <c r="K173" s="28"/>
      <c r="L173" s="38"/>
      <c r="M173" s="28"/>
      <c r="N173" s="38"/>
      <c r="O173" s="28"/>
      <c r="P173" s="38"/>
      <c r="Q173" s="28"/>
      <c r="R173" s="38"/>
      <c r="S173" s="28"/>
      <c r="T173" s="38"/>
      <c r="U173" s="28"/>
      <c r="V173" s="38"/>
      <c r="W173" s="28"/>
      <c r="X173" s="38"/>
      <c r="Y173" s="28"/>
      <c r="Z173" s="38"/>
    </row>
    <row r="174">
      <c r="A174" s="9"/>
      <c r="B174" s="26"/>
      <c r="C174" s="28"/>
      <c r="D174" s="26"/>
      <c r="E174" s="28"/>
      <c r="F174" s="26"/>
      <c r="G174" s="28"/>
      <c r="H174" s="26"/>
      <c r="I174" s="9"/>
      <c r="J174" s="38"/>
      <c r="K174" s="28"/>
      <c r="L174" s="38"/>
      <c r="M174" s="28"/>
      <c r="N174" s="38"/>
      <c r="O174" s="28"/>
      <c r="P174" s="38"/>
      <c r="Q174" s="28"/>
      <c r="R174" s="38"/>
      <c r="S174" s="28"/>
      <c r="T174" s="38"/>
      <c r="U174" s="28"/>
      <c r="V174" s="38"/>
      <c r="W174" s="28"/>
      <c r="X174" s="38"/>
      <c r="Y174" s="28"/>
      <c r="Z174" s="38"/>
    </row>
    <row r="175">
      <c r="A175" s="9"/>
      <c r="B175" s="26"/>
      <c r="C175" s="28"/>
      <c r="D175" s="26"/>
      <c r="E175" s="28"/>
      <c r="F175" s="26"/>
      <c r="G175" s="28"/>
      <c r="H175" s="26"/>
      <c r="I175" s="9"/>
      <c r="J175" s="38"/>
      <c r="K175" s="28"/>
      <c r="L175" s="38"/>
      <c r="M175" s="28"/>
      <c r="N175" s="38"/>
      <c r="O175" s="28"/>
      <c r="P175" s="38"/>
      <c r="Q175" s="28"/>
      <c r="R175" s="38"/>
      <c r="S175" s="28"/>
      <c r="T175" s="38"/>
      <c r="U175" s="28"/>
      <c r="V175" s="38"/>
      <c r="W175" s="28"/>
      <c r="X175" s="38"/>
      <c r="Y175" s="28"/>
      <c r="Z175" s="38"/>
    </row>
    <row r="176">
      <c r="A176" s="9"/>
      <c r="B176" s="26"/>
      <c r="C176" s="28"/>
      <c r="D176" s="26"/>
      <c r="E176" s="28"/>
      <c r="F176" s="26"/>
      <c r="G176" s="28"/>
      <c r="H176" s="26"/>
      <c r="I176" s="9"/>
      <c r="J176" s="38"/>
      <c r="K176" s="28"/>
      <c r="L176" s="38"/>
      <c r="M176" s="28"/>
      <c r="N176" s="38"/>
      <c r="O176" s="28"/>
      <c r="P176" s="38"/>
      <c r="Q176" s="28"/>
      <c r="R176" s="38"/>
      <c r="S176" s="28"/>
      <c r="T176" s="38"/>
      <c r="U176" s="28"/>
      <c r="V176" s="38"/>
      <c r="W176" s="28"/>
      <c r="X176" s="38"/>
      <c r="Y176" s="28"/>
      <c r="Z176" s="38"/>
    </row>
    <row r="177">
      <c r="A177" s="9"/>
      <c r="B177" s="26"/>
      <c r="C177" s="28"/>
      <c r="D177" s="26"/>
      <c r="E177" s="28"/>
      <c r="F177" s="26"/>
      <c r="G177" s="28"/>
      <c r="H177" s="26"/>
      <c r="I177" s="9"/>
      <c r="J177" s="38"/>
      <c r="K177" s="28"/>
      <c r="L177" s="38"/>
      <c r="M177" s="28"/>
      <c r="N177" s="38"/>
      <c r="O177" s="28"/>
      <c r="P177" s="38"/>
      <c r="Q177" s="28"/>
      <c r="R177" s="38"/>
      <c r="S177" s="28"/>
      <c r="T177" s="38"/>
      <c r="U177" s="28"/>
      <c r="V177" s="38"/>
      <c r="W177" s="28"/>
      <c r="X177" s="38"/>
      <c r="Y177" s="28"/>
      <c r="Z177" s="38"/>
    </row>
    <row r="178">
      <c r="A178" s="9"/>
      <c r="B178" s="26"/>
      <c r="C178" s="28"/>
      <c r="D178" s="26"/>
      <c r="E178" s="28"/>
      <c r="F178" s="26"/>
      <c r="G178" s="28"/>
      <c r="H178" s="26"/>
      <c r="I178" s="9"/>
      <c r="J178" s="38"/>
      <c r="K178" s="28"/>
      <c r="L178" s="38"/>
      <c r="M178" s="28"/>
      <c r="N178" s="38"/>
      <c r="O178" s="28"/>
      <c r="P178" s="38"/>
      <c r="Q178" s="28"/>
      <c r="R178" s="38"/>
      <c r="S178" s="28"/>
      <c r="T178" s="38"/>
      <c r="U178" s="28"/>
      <c r="V178" s="38"/>
      <c r="W178" s="28"/>
      <c r="X178" s="38"/>
      <c r="Y178" s="28"/>
      <c r="Z178" s="38"/>
    </row>
    <row r="179">
      <c r="A179" s="9"/>
      <c r="B179" s="26"/>
      <c r="C179" s="28"/>
      <c r="D179" s="26"/>
      <c r="E179" s="28"/>
      <c r="F179" s="26"/>
      <c r="G179" s="28"/>
      <c r="H179" s="26"/>
      <c r="I179" s="9"/>
      <c r="J179" s="38"/>
      <c r="K179" s="28"/>
      <c r="L179" s="38"/>
      <c r="M179" s="28"/>
      <c r="N179" s="38"/>
      <c r="O179" s="28"/>
      <c r="P179" s="38"/>
      <c r="Q179" s="28"/>
      <c r="R179" s="38"/>
      <c r="S179" s="28"/>
      <c r="T179" s="38"/>
      <c r="U179" s="28"/>
      <c r="V179" s="38"/>
      <c r="W179" s="28"/>
      <c r="X179" s="38"/>
      <c r="Y179" s="28"/>
      <c r="Z179" s="38"/>
    </row>
    <row r="180">
      <c r="A180" s="9"/>
      <c r="B180" s="26"/>
      <c r="C180" s="28"/>
      <c r="D180" s="26"/>
      <c r="E180" s="28"/>
      <c r="F180" s="26"/>
      <c r="G180" s="28"/>
      <c r="H180" s="26"/>
      <c r="I180" s="9"/>
      <c r="J180" s="38"/>
      <c r="K180" s="28"/>
      <c r="L180" s="38"/>
      <c r="M180" s="28"/>
      <c r="N180" s="38"/>
      <c r="O180" s="28"/>
      <c r="P180" s="38"/>
      <c r="Q180" s="28"/>
      <c r="R180" s="38"/>
      <c r="S180" s="28"/>
      <c r="T180" s="38"/>
      <c r="U180" s="28"/>
      <c r="V180" s="38"/>
      <c r="W180" s="28"/>
      <c r="X180" s="38"/>
      <c r="Y180" s="28"/>
      <c r="Z180" s="38"/>
    </row>
    <row r="181">
      <c r="A181" s="9"/>
      <c r="B181" s="26"/>
      <c r="C181" s="28"/>
      <c r="D181" s="26"/>
      <c r="E181" s="28"/>
      <c r="F181" s="26"/>
      <c r="G181" s="28"/>
      <c r="H181" s="26"/>
      <c r="I181" s="9"/>
      <c r="J181" s="38"/>
      <c r="K181" s="28"/>
      <c r="L181" s="38"/>
      <c r="M181" s="28"/>
      <c r="N181" s="38"/>
      <c r="O181" s="28"/>
      <c r="P181" s="38"/>
      <c r="Q181" s="28"/>
      <c r="R181" s="38"/>
      <c r="S181" s="28"/>
      <c r="T181" s="38"/>
      <c r="U181" s="28"/>
      <c r="V181" s="38"/>
      <c r="W181" s="28"/>
      <c r="X181" s="38"/>
      <c r="Y181" s="28"/>
      <c r="Z181" s="38"/>
    </row>
    <row r="182">
      <c r="A182" s="9"/>
      <c r="B182" s="26"/>
      <c r="C182" s="28"/>
      <c r="D182" s="26"/>
      <c r="E182" s="28"/>
      <c r="F182" s="26"/>
      <c r="G182" s="28"/>
      <c r="H182" s="26"/>
      <c r="I182" s="9"/>
      <c r="J182" s="38"/>
      <c r="K182" s="28"/>
      <c r="L182" s="38"/>
      <c r="M182" s="28"/>
      <c r="N182" s="38"/>
      <c r="O182" s="28"/>
      <c r="P182" s="38"/>
      <c r="Q182" s="28"/>
      <c r="R182" s="38"/>
      <c r="S182" s="28"/>
      <c r="T182" s="38"/>
      <c r="U182" s="28"/>
      <c r="V182" s="38"/>
      <c r="W182" s="28"/>
      <c r="X182" s="38"/>
      <c r="Y182" s="28"/>
      <c r="Z182" s="38"/>
    </row>
    <row r="183">
      <c r="A183" s="9"/>
      <c r="B183" s="26"/>
      <c r="C183" s="28"/>
      <c r="D183" s="26"/>
      <c r="E183" s="28"/>
      <c r="F183" s="26"/>
      <c r="G183" s="28"/>
      <c r="H183" s="26"/>
      <c r="I183" s="9"/>
      <c r="J183" s="38"/>
      <c r="K183" s="28"/>
      <c r="L183" s="38"/>
      <c r="M183" s="28"/>
      <c r="N183" s="38"/>
      <c r="O183" s="28"/>
      <c r="P183" s="38"/>
      <c r="Q183" s="28"/>
      <c r="R183" s="38"/>
      <c r="S183" s="28"/>
      <c r="T183" s="38"/>
      <c r="U183" s="28"/>
      <c r="V183" s="38"/>
      <c r="W183" s="28"/>
      <c r="X183" s="38"/>
      <c r="Y183" s="28"/>
      <c r="Z183" s="38"/>
    </row>
    <row r="184">
      <c r="A184" s="9"/>
      <c r="B184" s="26"/>
      <c r="C184" s="28"/>
      <c r="D184" s="26"/>
      <c r="E184" s="28"/>
      <c r="F184" s="26"/>
      <c r="G184" s="28"/>
      <c r="H184" s="26"/>
      <c r="I184" s="9"/>
      <c r="J184" s="38"/>
      <c r="K184" s="28"/>
      <c r="L184" s="38"/>
      <c r="M184" s="28"/>
      <c r="N184" s="38"/>
      <c r="O184" s="28"/>
      <c r="P184" s="38"/>
      <c r="Q184" s="28"/>
      <c r="R184" s="38"/>
      <c r="S184" s="28"/>
      <c r="T184" s="38"/>
      <c r="U184" s="28"/>
      <c r="V184" s="38"/>
      <c r="W184" s="28"/>
      <c r="X184" s="38"/>
      <c r="Y184" s="28"/>
      <c r="Z184" s="38"/>
    </row>
    <row r="185">
      <c r="A185" s="9"/>
      <c r="B185" s="26"/>
      <c r="C185" s="28"/>
      <c r="D185" s="26"/>
      <c r="E185" s="28"/>
      <c r="F185" s="26"/>
      <c r="G185" s="28"/>
      <c r="H185" s="26"/>
      <c r="I185" s="9"/>
      <c r="J185" s="38"/>
      <c r="K185" s="28"/>
      <c r="L185" s="38"/>
      <c r="M185" s="28"/>
      <c r="N185" s="38"/>
      <c r="O185" s="28"/>
      <c r="P185" s="38"/>
      <c r="Q185" s="28"/>
      <c r="R185" s="38"/>
      <c r="S185" s="28"/>
      <c r="T185" s="38"/>
      <c r="U185" s="28"/>
      <c r="V185" s="38"/>
      <c r="W185" s="28"/>
      <c r="X185" s="38"/>
      <c r="Y185" s="28"/>
      <c r="Z185" s="38"/>
    </row>
    <row r="186">
      <c r="A186" s="9"/>
      <c r="B186" s="26"/>
      <c r="C186" s="28"/>
      <c r="D186" s="26"/>
      <c r="E186" s="28"/>
      <c r="F186" s="26"/>
      <c r="G186" s="28"/>
      <c r="H186" s="26"/>
      <c r="I186" s="9"/>
      <c r="J186" s="38"/>
      <c r="K186" s="28"/>
      <c r="L186" s="38"/>
      <c r="M186" s="28"/>
      <c r="N186" s="38"/>
      <c r="O186" s="28"/>
      <c r="P186" s="38"/>
      <c r="Q186" s="28"/>
      <c r="R186" s="38"/>
      <c r="S186" s="28"/>
      <c r="T186" s="38"/>
      <c r="U186" s="28"/>
      <c r="V186" s="38"/>
      <c r="W186" s="28"/>
      <c r="X186" s="38"/>
      <c r="Y186" s="28"/>
      <c r="Z186" s="38"/>
    </row>
    <row r="187">
      <c r="A187" s="9"/>
      <c r="B187" s="26"/>
      <c r="C187" s="28"/>
      <c r="D187" s="26"/>
      <c r="E187" s="28"/>
      <c r="F187" s="26"/>
      <c r="G187" s="28"/>
      <c r="H187" s="26"/>
      <c r="I187" s="9"/>
      <c r="J187" s="38"/>
      <c r="K187" s="28"/>
      <c r="L187" s="38"/>
      <c r="M187" s="28"/>
      <c r="N187" s="38"/>
      <c r="O187" s="28"/>
      <c r="P187" s="38"/>
      <c r="Q187" s="28"/>
      <c r="R187" s="38"/>
      <c r="S187" s="28"/>
      <c r="T187" s="38"/>
      <c r="U187" s="28"/>
      <c r="V187" s="38"/>
      <c r="W187" s="28"/>
      <c r="X187" s="38"/>
      <c r="Y187" s="28"/>
      <c r="Z187" s="38"/>
    </row>
    <row r="188">
      <c r="A188" s="9"/>
      <c r="B188" s="26"/>
      <c r="C188" s="28"/>
      <c r="D188" s="26"/>
      <c r="E188" s="28"/>
      <c r="F188" s="26"/>
      <c r="G188" s="28"/>
      <c r="H188" s="26"/>
      <c r="I188" s="9"/>
      <c r="J188" s="38"/>
      <c r="K188" s="28"/>
      <c r="L188" s="38"/>
      <c r="M188" s="28"/>
      <c r="N188" s="38"/>
      <c r="O188" s="28"/>
      <c r="P188" s="38"/>
      <c r="Q188" s="28"/>
      <c r="R188" s="38"/>
      <c r="S188" s="28"/>
      <c r="T188" s="38"/>
      <c r="U188" s="28"/>
      <c r="V188" s="38"/>
      <c r="W188" s="28"/>
      <c r="X188" s="38"/>
      <c r="Y188" s="28"/>
      <c r="Z188" s="38"/>
    </row>
    <row r="189">
      <c r="A189" s="9"/>
      <c r="B189" s="26"/>
      <c r="C189" s="28"/>
      <c r="D189" s="26"/>
      <c r="E189" s="28"/>
      <c r="F189" s="26"/>
      <c r="G189" s="28"/>
      <c r="H189" s="26"/>
      <c r="I189" s="9"/>
      <c r="J189" s="38"/>
      <c r="K189" s="28"/>
      <c r="L189" s="38"/>
      <c r="M189" s="28"/>
      <c r="N189" s="38"/>
      <c r="O189" s="28"/>
      <c r="P189" s="38"/>
      <c r="Q189" s="28"/>
      <c r="R189" s="38"/>
      <c r="S189" s="28"/>
      <c r="T189" s="38"/>
      <c r="U189" s="28"/>
      <c r="V189" s="38"/>
      <c r="W189" s="28"/>
      <c r="X189" s="38"/>
      <c r="Y189" s="28"/>
      <c r="Z189" s="38"/>
    </row>
    <row r="190">
      <c r="A190" s="9"/>
      <c r="B190" s="26"/>
      <c r="C190" s="28"/>
      <c r="D190" s="26"/>
      <c r="E190" s="28"/>
      <c r="F190" s="26"/>
      <c r="G190" s="28"/>
      <c r="H190" s="26"/>
      <c r="I190" s="9"/>
      <c r="J190" s="38"/>
      <c r="K190" s="28"/>
      <c r="L190" s="38"/>
      <c r="M190" s="28"/>
      <c r="N190" s="38"/>
      <c r="O190" s="28"/>
      <c r="P190" s="38"/>
      <c r="Q190" s="28"/>
      <c r="R190" s="38"/>
      <c r="S190" s="28"/>
      <c r="T190" s="38"/>
      <c r="U190" s="28"/>
      <c r="V190" s="38"/>
      <c r="W190" s="28"/>
      <c r="X190" s="38"/>
      <c r="Y190" s="28"/>
      <c r="Z190" s="38"/>
    </row>
    <row r="191">
      <c r="A191" s="9"/>
      <c r="B191" s="26"/>
      <c r="C191" s="28"/>
      <c r="D191" s="26"/>
      <c r="E191" s="28"/>
      <c r="F191" s="26"/>
      <c r="G191" s="28"/>
      <c r="H191" s="26"/>
      <c r="I191" s="9"/>
      <c r="J191" s="38"/>
      <c r="K191" s="28"/>
      <c r="L191" s="38"/>
      <c r="M191" s="28"/>
      <c r="N191" s="38"/>
      <c r="O191" s="28"/>
      <c r="P191" s="38"/>
      <c r="Q191" s="28"/>
      <c r="R191" s="38"/>
      <c r="S191" s="28"/>
      <c r="T191" s="38"/>
      <c r="U191" s="28"/>
      <c r="V191" s="38"/>
      <c r="W191" s="28"/>
      <c r="X191" s="38"/>
      <c r="Y191" s="28"/>
      <c r="Z191" s="38"/>
    </row>
    <row r="192">
      <c r="A192" s="9"/>
      <c r="B192" s="26"/>
      <c r="C192" s="28"/>
      <c r="D192" s="26"/>
      <c r="E192" s="28"/>
      <c r="F192" s="26"/>
      <c r="G192" s="28"/>
      <c r="H192" s="26"/>
      <c r="I192" s="9"/>
      <c r="J192" s="38"/>
      <c r="K192" s="28"/>
      <c r="L192" s="38"/>
      <c r="M192" s="28"/>
      <c r="N192" s="38"/>
      <c r="O192" s="28"/>
      <c r="P192" s="38"/>
      <c r="Q192" s="28"/>
      <c r="R192" s="38"/>
      <c r="S192" s="28"/>
      <c r="T192" s="38"/>
      <c r="U192" s="28"/>
      <c r="V192" s="38"/>
      <c r="W192" s="28"/>
      <c r="X192" s="38"/>
      <c r="Y192" s="28"/>
      <c r="Z192" s="38"/>
    </row>
    <row r="193">
      <c r="A193" s="9"/>
      <c r="B193" s="26"/>
      <c r="C193" s="28"/>
      <c r="D193" s="26"/>
      <c r="E193" s="28"/>
      <c r="F193" s="26"/>
      <c r="G193" s="28"/>
      <c r="H193" s="26"/>
      <c r="I193" s="9"/>
      <c r="J193" s="38"/>
      <c r="K193" s="28"/>
      <c r="L193" s="38"/>
      <c r="M193" s="28"/>
      <c r="N193" s="38"/>
      <c r="O193" s="28"/>
      <c r="P193" s="38"/>
      <c r="Q193" s="28"/>
      <c r="R193" s="38"/>
      <c r="S193" s="28"/>
      <c r="T193" s="38"/>
      <c r="U193" s="28"/>
      <c r="V193" s="38"/>
      <c r="W193" s="28"/>
      <c r="X193" s="38"/>
      <c r="Y193" s="28"/>
      <c r="Z193" s="38"/>
    </row>
    <row r="194">
      <c r="A194" s="9"/>
      <c r="B194" s="26"/>
      <c r="C194" s="28"/>
      <c r="D194" s="26"/>
      <c r="E194" s="28"/>
      <c r="F194" s="26"/>
      <c r="G194" s="28"/>
      <c r="H194" s="26"/>
      <c r="I194" s="9"/>
      <c r="J194" s="38"/>
      <c r="K194" s="28"/>
      <c r="L194" s="38"/>
      <c r="M194" s="28"/>
      <c r="N194" s="38"/>
      <c r="O194" s="28"/>
      <c r="P194" s="38"/>
      <c r="Q194" s="28"/>
      <c r="R194" s="38"/>
      <c r="S194" s="28"/>
      <c r="T194" s="38"/>
      <c r="U194" s="28"/>
      <c r="V194" s="38"/>
      <c r="W194" s="28"/>
      <c r="X194" s="38"/>
      <c r="Y194" s="28"/>
      <c r="Z194" s="38"/>
    </row>
    <row r="195">
      <c r="A195" s="9"/>
      <c r="B195" s="26"/>
      <c r="C195" s="28"/>
      <c r="D195" s="26"/>
      <c r="E195" s="28"/>
      <c r="F195" s="26"/>
      <c r="G195" s="28"/>
      <c r="H195" s="26"/>
      <c r="I195" s="9"/>
      <c r="J195" s="38"/>
      <c r="K195" s="28"/>
      <c r="L195" s="38"/>
      <c r="M195" s="28"/>
      <c r="N195" s="38"/>
      <c r="O195" s="28"/>
      <c r="P195" s="38"/>
      <c r="Q195" s="28"/>
      <c r="R195" s="38"/>
      <c r="S195" s="28"/>
      <c r="T195" s="38"/>
      <c r="U195" s="28"/>
      <c r="V195" s="38"/>
      <c r="W195" s="28"/>
      <c r="X195" s="38"/>
      <c r="Y195" s="28"/>
      <c r="Z195" s="38"/>
    </row>
    <row r="196">
      <c r="A196" s="9"/>
      <c r="B196" s="28"/>
      <c r="C196" s="28"/>
      <c r="D196" s="28"/>
      <c r="E196" s="28"/>
      <c r="F196" s="28"/>
      <c r="G196" s="28"/>
      <c r="H196" s="28"/>
      <c r="I196" s="9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>
      <c r="A197" s="9"/>
      <c r="B197" s="28"/>
      <c r="C197" s="28"/>
      <c r="D197" s="28"/>
      <c r="E197" s="28"/>
      <c r="F197" s="28"/>
      <c r="G197" s="28"/>
      <c r="H197" s="28"/>
      <c r="I197" s="9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>
      <c r="A198" s="9"/>
      <c r="B198" s="28"/>
      <c r="C198" s="28"/>
      <c r="D198" s="28"/>
      <c r="E198" s="28"/>
      <c r="F198" s="28"/>
      <c r="G198" s="28"/>
      <c r="H198" s="28"/>
      <c r="I198" s="9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>
      <c r="B199" s="59"/>
      <c r="C199" s="59"/>
      <c r="D199" s="59"/>
      <c r="E199" s="59"/>
      <c r="F199" s="59"/>
      <c r="G199" s="59"/>
      <c r="H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</row>
    <row r="200">
      <c r="B200" s="59"/>
      <c r="C200" s="59"/>
      <c r="D200" s="59"/>
      <c r="E200" s="59"/>
      <c r="F200" s="59"/>
      <c r="G200" s="59"/>
      <c r="H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</row>
    <row r="201">
      <c r="B201" s="59"/>
      <c r="C201" s="59"/>
      <c r="D201" s="59"/>
      <c r="E201" s="59"/>
      <c r="F201" s="59"/>
      <c r="G201" s="59"/>
      <c r="H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</row>
    <row r="202">
      <c r="B202" s="59"/>
      <c r="C202" s="59"/>
      <c r="D202" s="59"/>
      <c r="E202" s="59"/>
      <c r="F202" s="59"/>
      <c r="G202" s="59"/>
      <c r="H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</row>
    <row r="203">
      <c r="B203" s="59"/>
      <c r="C203" s="59"/>
      <c r="D203" s="59"/>
      <c r="E203" s="59"/>
      <c r="F203" s="59"/>
      <c r="G203" s="59"/>
      <c r="H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</row>
    <row r="204">
      <c r="B204" s="59"/>
      <c r="C204" s="59"/>
      <c r="D204" s="59"/>
      <c r="E204" s="59"/>
      <c r="F204" s="59"/>
      <c r="G204" s="59"/>
      <c r="H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</row>
    <row r="205">
      <c r="B205" s="59"/>
      <c r="C205" s="59"/>
      <c r="D205" s="59"/>
      <c r="E205" s="59"/>
      <c r="F205" s="59"/>
      <c r="G205" s="59"/>
      <c r="H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</row>
    <row r="206">
      <c r="B206" s="59"/>
      <c r="C206" s="59"/>
      <c r="D206" s="59"/>
      <c r="E206" s="59"/>
      <c r="F206" s="59"/>
      <c r="G206" s="59"/>
      <c r="H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</row>
    <row r="207">
      <c r="B207" s="59"/>
      <c r="C207" s="59"/>
      <c r="D207" s="59"/>
      <c r="E207" s="59"/>
      <c r="F207" s="59"/>
      <c r="G207" s="59"/>
      <c r="H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</row>
    <row r="208">
      <c r="B208" s="59"/>
      <c r="C208" s="59"/>
      <c r="D208" s="59"/>
      <c r="E208" s="59"/>
      <c r="F208" s="59"/>
      <c r="G208" s="59"/>
      <c r="H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</row>
    <row r="209">
      <c r="B209" s="59"/>
      <c r="C209" s="59"/>
      <c r="D209" s="59"/>
      <c r="E209" s="59"/>
      <c r="F209" s="59"/>
      <c r="G209" s="59"/>
      <c r="H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</row>
    <row r="210">
      <c r="B210" s="59"/>
      <c r="C210" s="59"/>
      <c r="D210" s="59"/>
      <c r="E210" s="59"/>
      <c r="F210" s="59"/>
      <c r="G210" s="59"/>
      <c r="H210" s="59"/>
    </row>
    <row r="211">
      <c r="B211" s="59"/>
      <c r="C211" s="59"/>
      <c r="D211" s="59"/>
      <c r="E211" s="59"/>
      <c r="F211" s="59"/>
      <c r="G211" s="59"/>
      <c r="H211" s="59"/>
    </row>
    <row r="212">
      <c r="B212" s="59"/>
      <c r="C212" s="59"/>
      <c r="D212" s="59"/>
      <c r="E212" s="59"/>
      <c r="F212" s="59"/>
      <c r="G212" s="59"/>
      <c r="H212" s="59"/>
    </row>
    <row r="213">
      <c r="B213" s="59"/>
      <c r="C213" s="59"/>
      <c r="D213" s="59"/>
      <c r="E213" s="59"/>
      <c r="F213" s="59"/>
      <c r="G213" s="59"/>
      <c r="H213" s="59"/>
    </row>
    <row r="214">
      <c r="B214" s="59"/>
      <c r="C214" s="59"/>
      <c r="D214" s="59"/>
      <c r="E214" s="59"/>
      <c r="F214" s="59"/>
      <c r="G214" s="59"/>
      <c r="H214" s="59"/>
    </row>
    <row r="215">
      <c r="B215" s="59"/>
      <c r="C215" s="59"/>
      <c r="D215" s="59"/>
      <c r="E215" s="59"/>
      <c r="F215" s="59"/>
      <c r="G215" s="59"/>
      <c r="H215" s="59"/>
    </row>
    <row r="216">
      <c r="B216" s="59"/>
      <c r="C216" s="59"/>
      <c r="D216" s="59"/>
      <c r="E216" s="59"/>
      <c r="F216" s="59"/>
      <c r="G216" s="59"/>
      <c r="H216" s="59"/>
    </row>
    <row r="217">
      <c r="B217" s="59"/>
      <c r="C217" s="59"/>
      <c r="D217" s="59"/>
      <c r="E217" s="59"/>
      <c r="F217" s="59"/>
      <c r="G217" s="59"/>
      <c r="H217" s="59"/>
    </row>
    <row r="218">
      <c r="B218" s="59"/>
      <c r="C218" s="59"/>
      <c r="D218" s="59"/>
      <c r="E218" s="59"/>
      <c r="F218" s="59"/>
      <c r="G218" s="59"/>
      <c r="H218" s="59"/>
    </row>
    <row r="219">
      <c r="B219" s="59"/>
      <c r="C219" s="59"/>
      <c r="D219" s="59"/>
      <c r="E219" s="59"/>
      <c r="F219" s="59"/>
      <c r="G219" s="59"/>
      <c r="H219" s="59"/>
    </row>
    <row r="220">
      <c r="B220" s="59"/>
      <c r="C220" s="59"/>
      <c r="D220" s="59"/>
      <c r="E220" s="59"/>
      <c r="F220" s="59"/>
      <c r="G220" s="59"/>
      <c r="H220" s="59"/>
    </row>
    <row r="221">
      <c r="B221" s="59"/>
      <c r="C221" s="59"/>
      <c r="D221" s="59"/>
      <c r="E221" s="59"/>
      <c r="F221" s="59"/>
      <c r="G221" s="59"/>
      <c r="H221" s="59"/>
    </row>
    <row r="222">
      <c r="B222" s="59"/>
      <c r="C222" s="59"/>
      <c r="D222" s="59"/>
      <c r="E222" s="59"/>
      <c r="F222" s="59"/>
      <c r="G222" s="59"/>
      <c r="H222" s="59"/>
    </row>
    <row r="223">
      <c r="B223" s="59"/>
      <c r="C223" s="59"/>
      <c r="D223" s="59"/>
      <c r="E223" s="59"/>
      <c r="F223" s="59"/>
      <c r="G223" s="59"/>
      <c r="H223" s="59"/>
    </row>
    <row r="224">
      <c r="B224" s="59"/>
      <c r="C224" s="59"/>
      <c r="D224" s="59"/>
      <c r="E224" s="59"/>
      <c r="F224" s="59"/>
      <c r="G224" s="59"/>
      <c r="H224" s="59"/>
    </row>
    <row r="225">
      <c r="B225" s="59"/>
      <c r="C225" s="59"/>
      <c r="D225" s="59"/>
      <c r="E225" s="59"/>
      <c r="F225" s="59"/>
      <c r="G225" s="59"/>
      <c r="H225" s="59"/>
    </row>
    <row r="226">
      <c r="B226" s="59"/>
      <c r="C226" s="59"/>
      <c r="D226" s="59"/>
      <c r="E226" s="59"/>
      <c r="F226" s="59"/>
      <c r="G226" s="59"/>
      <c r="H226" s="59"/>
    </row>
    <row r="227">
      <c r="B227" s="59"/>
      <c r="C227" s="59"/>
      <c r="D227" s="59"/>
      <c r="E227" s="59"/>
      <c r="F227" s="59"/>
      <c r="G227" s="59"/>
      <c r="H227" s="59"/>
    </row>
    <row r="228">
      <c r="B228" s="59"/>
      <c r="C228" s="59"/>
      <c r="D228" s="59"/>
      <c r="E228" s="59"/>
      <c r="F228" s="59"/>
      <c r="G228" s="59"/>
      <c r="H228" s="59"/>
    </row>
    <row r="229">
      <c r="B229" s="59"/>
      <c r="C229" s="59"/>
      <c r="D229" s="59"/>
      <c r="E229" s="59"/>
      <c r="F229" s="59"/>
      <c r="G229" s="59"/>
      <c r="H229" s="59"/>
    </row>
    <row r="230">
      <c r="B230" s="59"/>
      <c r="C230" s="59"/>
      <c r="D230" s="59"/>
      <c r="E230" s="59"/>
      <c r="F230" s="59"/>
      <c r="G230" s="59"/>
      <c r="H230" s="59"/>
    </row>
    <row r="231">
      <c r="B231" s="59"/>
      <c r="C231" s="59"/>
      <c r="D231" s="59"/>
      <c r="E231" s="59"/>
      <c r="F231" s="59"/>
      <c r="G231" s="59"/>
      <c r="H231" s="59"/>
    </row>
    <row r="232">
      <c r="B232" s="59"/>
      <c r="C232" s="59"/>
      <c r="D232" s="59"/>
      <c r="E232" s="59"/>
      <c r="F232" s="59"/>
      <c r="G232" s="59"/>
      <c r="H232" s="59"/>
    </row>
    <row r="233">
      <c r="B233" s="59"/>
      <c r="C233" s="59"/>
      <c r="D233" s="59"/>
      <c r="E233" s="59"/>
      <c r="F233" s="59"/>
      <c r="G233" s="59"/>
      <c r="H233" s="59"/>
    </row>
    <row r="234">
      <c r="B234" s="59"/>
      <c r="C234" s="59"/>
      <c r="D234" s="59"/>
      <c r="E234" s="59"/>
      <c r="F234" s="59"/>
      <c r="G234" s="59"/>
      <c r="H234" s="59"/>
    </row>
  </sheetData>
  <mergeCells count="2">
    <mergeCell ref="B2:H2"/>
    <mergeCell ref="J2:Z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63"/>
    <col customWidth="1" min="2" max="2" width="22.88"/>
    <col customWidth="1" min="3" max="3" width="21.0"/>
    <col customWidth="1" min="4" max="4" width="10.13"/>
    <col customWidth="1" min="6" max="6" width="3.38"/>
    <col customWidth="1" min="7" max="7" width="17.0"/>
    <col customWidth="1" min="8" max="8" width="4.13"/>
    <col customWidth="1" min="9" max="9" width="20.75"/>
    <col customWidth="1" min="10" max="10" width="4.63"/>
    <col customWidth="1" min="11" max="11" width="27.13"/>
    <col customWidth="1" min="12" max="12" width="3.25"/>
    <col customWidth="1" min="13" max="13" width="26.63"/>
  </cols>
  <sheetData>
    <row r="1" ht="8.2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>
      <c r="A2" s="9"/>
      <c r="B2" s="10" t="s">
        <v>3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</row>
    <row r="3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</row>
    <row r="5">
      <c r="B5" s="15" t="s">
        <v>6</v>
      </c>
      <c r="C5" s="17" t="s">
        <v>8</v>
      </c>
      <c r="D5" s="17" t="s">
        <v>9</v>
      </c>
      <c r="E5" s="17" t="s">
        <v>10</v>
      </c>
      <c r="G5" s="15" t="s">
        <v>11</v>
      </c>
      <c r="I5" s="15" t="s">
        <v>12</v>
      </c>
      <c r="K5" s="15" t="s">
        <v>16</v>
      </c>
      <c r="M5" s="15" t="s">
        <v>8</v>
      </c>
    </row>
    <row r="6">
      <c r="B6" s="24" t="s">
        <v>20</v>
      </c>
      <c r="C6" s="34" t="s">
        <v>57</v>
      </c>
      <c r="D6" s="35">
        <v>5240.0</v>
      </c>
      <c r="E6" s="36">
        <v>44562.0</v>
      </c>
      <c r="G6" s="24" t="s">
        <v>67</v>
      </c>
      <c r="I6" s="24" t="s">
        <v>69</v>
      </c>
      <c r="K6" s="24" t="s">
        <v>28</v>
      </c>
      <c r="M6" s="24" t="s">
        <v>57</v>
      </c>
    </row>
    <row r="7">
      <c r="B7" s="37" t="s">
        <v>73</v>
      </c>
      <c r="C7" s="34" t="s">
        <v>77</v>
      </c>
      <c r="D7" s="35">
        <v>2500.0</v>
      </c>
      <c r="E7" s="36">
        <v>44562.0</v>
      </c>
      <c r="G7" s="37" t="s">
        <v>81</v>
      </c>
      <c r="I7" s="37" t="s">
        <v>82</v>
      </c>
      <c r="K7" s="37" t="s">
        <v>63</v>
      </c>
      <c r="M7" s="37" t="s">
        <v>77</v>
      </c>
    </row>
    <row r="8">
      <c r="B8" s="24"/>
      <c r="C8" s="34"/>
      <c r="D8" s="35"/>
      <c r="E8" s="36"/>
      <c r="G8" s="37" t="s">
        <v>89</v>
      </c>
      <c r="I8" s="37" t="s">
        <v>91</v>
      </c>
      <c r="K8" s="37" t="s">
        <v>93</v>
      </c>
      <c r="M8" s="37" t="s">
        <v>95</v>
      </c>
    </row>
    <row r="9">
      <c r="B9" s="37"/>
      <c r="C9" s="34"/>
      <c r="D9" s="35"/>
      <c r="E9" s="36"/>
      <c r="G9" s="37" t="s">
        <v>99</v>
      </c>
      <c r="I9" s="37"/>
      <c r="K9" s="37" t="s">
        <v>100</v>
      </c>
      <c r="M9" s="37" t="s">
        <v>101</v>
      </c>
    </row>
    <row r="10">
      <c r="B10" s="24"/>
      <c r="C10" s="34"/>
      <c r="D10" s="35"/>
      <c r="E10" s="36"/>
      <c r="G10" s="37"/>
      <c r="I10" s="37"/>
      <c r="K10" s="37"/>
      <c r="M10" s="37"/>
    </row>
    <row r="11">
      <c r="B11" s="37"/>
      <c r="C11" s="34"/>
      <c r="D11" s="35"/>
      <c r="E11" s="36"/>
      <c r="G11" s="37"/>
      <c r="I11" s="37"/>
      <c r="K11" s="37"/>
      <c r="M11" s="37"/>
    </row>
    <row r="12">
      <c r="B12" s="24"/>
      <c r="C12" s="34"/>
      <c r="D12" s="35"/>
      <c r="E12" s="36"/>
      <c r="G12" s="37"/>
      <c r="I12" s="37"/>
      <c r="K12" s="37"/>
      <c r="M12" s="37"/>
    </row>
    <row r="13">
      <c r="B13" s="37"/>
      <c r="C13" s="34"/>
      <c r="D13" s="35"/>
      <c r="E13" s="36"/>
      <c r="G13" s="37"/>
      <c r="I13" s="37"/>
      <c r="K13" s="37"/>
      <c r="M13" s="37"/>
    </row>
    <row r="14">
      <c r="B14" s="37"/>
      <c r="C14" s="34"/>
      <c r="D14" s="35"/>
      <c r="E14" s="36"/>
      <c r="G14" s="37"/>
      <c r="I14" s="37"/>
      <c r="K14" s="37"/>
      <c r="M14" s="37"/>
    </row>
    <row r="15">
      <c r="B15" s="37"/>
      <c r="C15" s="34"/>
      <c r="D15" s="35"/>
      <c r="E15" s="36"/>
      <c r="G15" s="37"/>
      <c r="I15" s="37"/>
      <c r="K15" s="37"/>
      <c r="M15" s="37"/>
    </row>
    <row r="16">
      <c r="B16" s="37"/>
      <c r="C16" s="34"/>
      <c r="D16" s="35"/>
      <c r="E16" s="36"/>
      <c r="G16" s="37"/>
      <c r="I16" s="37"/>
      <c r="K16" s="37"/>
      <c r="M16" s="37"/>
    </row>
    <row r="17">
      <c r="B17" s="37"/>
      <c r="C17" s="34"/>
      <c r="D17" s="35"/>
      <c r="E17" s="36"/>
      <c r="G17" s="37"/>
      <c r="I17" s="37"/>
      <c r="K17" s="37"/>
      <c r="M17" s="37"/>
    </row>
    <row r="18">
      <c r="B18" s="37"/>
      <c r="C18" s="34"/>
      <c r="D18" s="35"/>
      <c r="E18" s="36"/>
      <c r="G18" s="37"/>
      <c r="I18" s="37"/>
      <c r="K18" s="37"/>
      <c r="M18" s="37"/>
    </row>
    <row r="19">
      <c r="B19" s="37"/>
      <c r="C19" s="34"/>
      <c r="D19" s="35"/>
      <c r="E19" s="36"/>
      <c r="G19" s="37"/>
      <c r="I19" s="37"/>
      <c r="K19" s="37"/>
      <c r="M19" s="37"/>
    </row>
    <row r="20">
      <c r="G20" s="37"/>
      <c r="I20" s="37"/>
      <c r="K20" s="37"/>
    </row>
    <row r="21">
      <c r="B21" s="42"/>
      <c r="G21" s="37"/>
      <c r="I21" s="37"/>
      <c r="K21" s="37"/>
    </row>
    <row r="22">
      <c r="G22" s="37"/>
      <c r="I22" s="37"/>
      <c r="K22" s="37"/>
    </row>
    <row r="23">
      <c r="G23" s="37"/>
      <c r="I23" s="37"/>
      <c r="K23" s="37"/>
    </row>
    <row r="24">
      <c r="G24" s="37"/>
      <c r="I24" s="37"/>
      <c r="K24" s="37"/>
    </row>
    <row r="25">
      <c r="G25" s="37"/>
      <c r="I25" s="37"/>
      <c r="K25" s="37"/>
    </row>
    <row r="26">
      <c r="G26" s="37"/>
      <c r="I26" s="37"/>
      <c r="K26" s="37"/>
    </row>
    <row r="27">
      <c r="G27" s="37"/>
      <c r="I27" s="37"/>
      <c r="K27" s="37"/>
    </row>
    <row r="28">
      <c r="G28" s="37"/>
      <c r="I28" s="37"/>
      <c r="K28" s="37"/>
    </row>
    <row r="29">
      <c r="G29" s="37"/>
      <c r="I29" s="37"/>
      <c r="K29" s="37"/>
    </row>
    <row r="30">
      <c r="G30" s="37"/>
      <c r="I30" s="37"/>
      <c r="K30" s="37"/>
    </row>
    <row r="31">
      <c r="G31" s="37"/>
      <c r="I31" s="37"/>
      <c r="K31" s="37"/>
    </row>
    <row r="32">
      <c r="G32" s="37"/>
      <c r="I32" s="37"/>
      <c r="K32" s="37"/>
    </row>
    <row r="33">
      <c r="G33" s="37"/>
      <c r="I33" s="37"/>
      <c r="K33" s="37"/>
    </row>
    <row r="34">
      <c r="G34" s="37"/>
      <c r="I34" s="37"/>
      <c r="K34" s="37"/>
    </row>
    <row r="35">
      <c r="G35" s="37"/>
      <c r="I35" s="37"/>
      <c r="K35" s="37"/>
    </row>
    <row r="36">
      <c r="G36" s="37"/>
      <c r="I36" s="37"/>
      <c r="K36" s="37"/>
    </row>
    <row r="37">
      <c r="G37" s="37"/>
      <c r="I37" s="37"/>
      <c r="K37" s="37"/>
    </row>
    <row r="38">
      <c r="G38" s="37"/>
      <c r="I38" s="37"/>
      <c r="K38" s="37"/>
    </row>
    <row r="39">
      <c r="G39" s="37"/>
      <c r="I39" s="37"/>
      <c r="K39" s="37"/>
    </row>
    <row r="40">
      <c r="G40" s="37"/>
      <c r="I40" s="37"/>
      <c r="K40" s="37"/>
    </row>
    <row r="41">
      <c r="G41" s="37"/>
      <c r="I41" s="37"/>
      <c r="K41" s="37"/>
    </row>
    <row r="42">
      <c r="G42" s="37"/>
      <c r="I42" s="37"/>
      <c r="K42" s="37"/>
    </row>
    <row r="43">
      <c r="G43" s="37"/>
      <c r="I43" s="37"/>
      <c r="K43" s="37"/>
    </row>
    <row r="44">
      <c r="G44" s="37"/>
      <c r="I44" s="37"/>
      <c r="K44" s="37"/>
    </row>
    <row r="45">
      <c r="G45" s="37"/>
      <c r="I45" s="37"/>
      <c r="K45" s="37"/>
    </row>
    <row r="46">
      <c r="G46" s="37"/>
      <c r="I46" s="37"/>
      <c r="K46" s="37"/>
    </row>
    <row r="47">
      <c r="G47" s="37"/>
      <c r="I47" s="37"/>
      <c r="K47" s="37"/>
    </row>
    <row r="48">
      <c r="G48" s="37"/>
      <c r="I48" s="37"/>
      <c r="K48" s="37"/>
    </row>
    <row r="49">
      <c r="G49" s="37"/>
      <c r="I49" s="37"/>
      <c r="K49" s="37"/>
    </row>
    <row r="50">
      <c r="G50" s="37"/>
      <c r="I50" s="37"/>
      <c r="K50" s="37"/>
    </row>
    <row r="51">
      <c r="G51" s="37"/>
      <c r="I51" s="37"/>
      <c r="K51" s="37"/>
    </row>
    <row r="52">
      <c r="G52" s="37"/>
      <c r="I52" s="37"/>
      <c r="K52" s="37"/>
    </row>
    <row r="53">
      <c r="G53" s="37"/>
      <c r="I53" s="37"/>
      <c r="K53" s="37"/>
    </row>
    <row r="54">
      <c r="G54" s="37"/>
      <c r="I54" s="37"/>
      <c r="K54" s="37"/>
    </row>
    <row r="55">
      <c r="G55" s="37"/>
      <c r="I55" s="37"/>
      <c r="K55" s="37"/>
    </row>
    <row r="56">
      <c r="G56" s="37"/>
      <c r="I56" s="37"/>
      <c r="K56" s="37"/>
    </row>
    <row r="57">
      <c r="G57" s="37"/>
      <c r="I57" s="37"/>
      <c r="K57" s="37"/>
    </row>
    <row r="58">
      <c r="G58" s="37"/>
      <c r="I58" s="37"/>
      <c r="K58" s="37"/>
    </row>
    <row r="59">
      <c r="G59" s="37"/>
      <c r="I59" s="37"/>
      <c r="K59" s="37"/>
    </row>
    <row r="60">
      <c r="G60" s="37"/>
      <c r="I60" s="37"/>
      <c r="K60" s="37"/>
    </row>
    <row r="61">
      <c r="G61" s="37"/>
      <c r="I61" s="37"/>
      <c r="K61" s="37"/>
    </row>
    <row r="62">
      <c r="G62" s="37"/>
      <c r="I62" s="37"/>
      <c r="K62" s="37"/>
    </row>
    <row r="63">
      <c r="G63" s="37"/>
      <c r="I63" s="37"/>
      <c r="K63" s="37"/>
    </row>
    <row r="64">
      <c r="G64" s="37"/>
      <c r="I64" s="37"/>
      <c r="K64" s="37"/>
    </row>
    <row r="65">
      <c r="G65" s="37"/>
      <c r="I65" s="37"/>
      <c r="K65" s="37"/>
    </row>
    <row r="66">
      <c r="G66" s="37"/>
      <c r="I66" s="37"/>
      <c r="K66" s="37"/>
    </row>
    <row r="67">
      <c r="G67" s="37"/>
      <c r="I67" s="37"/>
      <c r="K67" s="37"/>
    </row>
    <row r="68">
      <c r="G68" s="37"/>
      <c r="I68" s="37"/>
      <c r="K68" s="37"/>
    </row>
    <row r="69">
      <c r="G69" s="37"/>
      <c r="I69" s="37"/>
      <c r="K69" s="37"/>
    </row>
    <row r="70">
      <c r="G70" s="37"/>
      <c r="I70" s="37"/>
      <c r="K70" s="37"/>
    </row>
    <row r="71">
      <c r="G71" s="37"/>
      <c r="I71" s="37"/>
      <c r="K71" s="37"/>
    </row>
    <row r="72">
      <c r="G72" s="37"/>
      <c r="I72" s="37"/>
      <c r="K72" s="37"/>
    </row>
    <row r="73">
      <c r="G73" s="37"/>
      <c r="I73" s="37"/>
      <c r="K73" s="37"/>
    </row>
    <row r="74">
      <c r="G74" s="37"/>
      <c r="I74" s="37"/>
      <c r="K74" s="37"/>
    </row>
    <row r="75">
      <c r="G75" s="37"/>
      <c r="I75" s="37"/>
    </row>
    <row r="76">
      <c r="G76" s="37"/>
      <c r="I76" s="37"/>
    </row>
    <row r="77">
      <c r="G77" s="37"/>
      <c r="I77" s="37"/>
    </row>
    <row r="78">
      <c r="G78" s="37"/>
      <c r="I78" s="37"/>
    </row>
    <row r="79">
      <c r="G79" s="37"/>
      <c r="I79" s="37"/>
    </row>
    <row r="80">
      <c r="G80" s="37"/>
      <c r="I80" s="37"/>
    </row>
    <row r="81">
      <c r="G81" s="37"/>
      <c r="I81" s="37"/>
    </row>
    <row r="82">
      <c r="G82" s="37"/>
      <c r="I82" s="37"/>
    </row>
    <row r="83">
      <c r="G83" s="37"/>
      <c r="I83" s="37"/>
    </row>
    <row r="84">
      <c r="G84" s="37"/>
      <c r="I84" s="37"/>
    </row>
    <row r="85">
      <c r="G85" s="37"/>
      <c r="I85" s="37"/>
    </row>
    <row r="86">
      <c r="G86" s="37"/>
      <c r="I86" s="37"/>
    </row>
    <row r="87">
      <c r="G87" s="37"/>
      <c r="I87" s="37"/>
    </row>
    <row r="88">
      <c r="G88" s="37"/>
      <c r="I88" s="37"/>
    </row>
    <row r="89">
      <c r="G89" s="37"/>
      <c r="I89" s="37"/>
    </row>
    <row r="90">
      <c r="G90" s="37"/>
      <c r="I90" s="37"/>
    </row>
    <row r="91">
      <c r="G91" s="37"/>
      <c r="I91" s="37"/>
    </row>
    <row r="92">
      <c r="G92" s="37"/>
      <c r="I92" s="37"/>
    </row>
    <row r="93">
      <c r="G93" s="37"/>
      <c r="I93" s="37"/>
    </row>
    <row r="94">
      <c r="G94" s="37"/>
      <c r="I94" s="37"/>
    </row>
    <row r="95">
      <c r="G95" s="37"/>
      <c r="I95" s="37"/>
    </row>
    <row r="96">
      <c r="G96" s="37"/>
      <c r="I96" s="37"/>
    </row>
    <row r="97">
      <c r="G97" s="37"/>
      <c r="I97" s="37"/>
    </row>
    <row r="98">
      <c r="G98" s="37"/>
      <c r="I98" s="37"/>
    </row>
    <row r="99">
      <c r="G99" s="37"/>
      <c r="I99" s="37"/>
    </row>
    <row r="100">
      <c r="G100" s="37"/>
      <c r="I100" s="37"/>
    </row>
    <row r="101">
      <c r="G101" s="37"/>
      <c r="I101" s="37"/>
    </row>
    <row r="102">
      <c r="G102" s="37"/>
      <c r="I102" s="37"/>
    </row>
    <row r="103">
      <c r="G103" s="37"/>
      <c r="I103" s="37"/>
    </row>
    <row r="104">
      <c r="G104" s="37"/>
      <c r="I104" s="37"/>
    </row>
    <row r="105">
      <c r="G105" s="37"/>
      <c r="I105" s="37"/>
    </row>
    <row r="106">
      <c r="G106" s="37"/>
      <c r="I106" s="37"/>
    </row>
    <row r="107">
      <c r="G107" s="37"/>
      <c r="I107" s="37"/>
    </row>
    <row r="108">
      <c r="G108" s="37"/>
      <c r="I108" s="37"/>
    </row>
    <row r="109">
      <c r="G109" s="37"/>
      <c r="I109" s="37"/>
    </row>
    <row r="110">
      <c r="G110" s="37"/>
      <c r="I110" s="37"/>
    </row>
    <row r="111">
      <c r="G111" s="37"/>
      <c r="I111" s="37"/>
    </row>
    <row r="112">
      <c r="G112" s="37"/>
      <c r="I112" s="37"/>
    </row>
    <row r="113">
      <c r="G113" s="37"/>
      <c r="I113" s="37"/>
    </row>
    <row r="114">
      <c r="G114" s="37"/>
      <c r="I114" s="37"/>
    </row>
    <row r="115">
      <c r="G115" s="37"/>
      <c r="I115" s="37"/>
    </row>
    <row r="116">
      <c r="G116" s="37"/>
      <c r="I116" s="37"/>
    </row>
    <row r="117">
      <c r="G117" s="37"/>
      <c r="I117" s="37"/>
    </row>
    <row r="118">
      <c r="G118" s="37"/>
      <c r="I118" s="37"/>
    </row>
    <row r="119">
      <c r="G119" s="37"/>
      <c r="I119" s="37"/>
    </row>
    <row r="120">
      <c r="G120" s="37"/>
      <c r="I120" s="37"/>
    </row>
    <row r="121">
      <c r="G121" s="37"/>
      <c r="I121" s="37"/>
    </row>
    <row r="122">
      <c r="G122" s="37"/>
      <c r="I122" s="37"/>
    </row>
    <row r="123">
      <c r="G123" s="37"/>
      <c r="I123" s="37"/>
    </row>
    <row r="124">
      <c r="G124" s="37"/>
      <c r="I124" s="37"/>
    </row>
    <row r="125">
      <c r="G125" s="37"/>
      <c r="I125" s="37"/>
    </row>
    <row r="126">
      <c r="G126" s="37"/>
      <c r="I126" s="37"/>
    </row>
    <row r="127">
      <c r="G127" s="37"/>
      <c r="I127" s="37"/>
    </row>
    <row r="128">
      <c r="G128" s="37"/>
      <c r="I128" s="37"/>
    </row>
    <row r="129">
      <c r="G129" s="37"/>
      <c r="I129" s="37"/>
    </row>
    <row r="130">
      <c r="G130" s="37"/>
      <c r="I130" s="37"/>
    </row>
    <row r="131">
      <c r="G131" s="37"/>
      <c r="I131" s="37"/>
    </row>
    <row r="132">
      <c r="G132" s="37"/>
      <c r="I132" s="37"/>
    </row>
    <row r="133">
      <c r="G133" s="37"/>
      <c r="I133" s="37"/>
    </row>
    <row r="134">
      <c r="G134" s="37"/>
      <c r="I134" s="37"/>
    </row>
    <row r="135">
      <c r="G135" s="37"/>
      <c r="I135" s="37"/>
    </row>
    <row r="136">
      <c r="G136" s="37"/>
      <c r="I136" s="37"/>
    </row>
    <row r="137">
      <c r="G137" s="37"/>
      <c r="I137" s="37"/>
    </row>
    <row r="138">
      <c r="G138" s="37"/>
      <c r="I138" s="37"/>
    </row>
    <row r="139">
      <c r="G139" s="37"/>
      <c r="I139" s="37"/>
    </row>
    <row r="140">
      <c r="G140" s="37"/>
      <c r="I140" s="37"/>
    </row>
    <row r="141">
      <c r="G141" s="37"/>
      <c r="I141" s="37"/>
    </row>
    <row r="142">
      <c r="G142" s="37"/>
      <c r="I142" s="37"/>
    </row>
    <row r="143">
      <c r="G143" s="37"/>
      <c r="I143" s="37"/>
    </row>
    <row r="144">
      <c r="G144" s="37"/>
      <c r="I144" s="37"/>
    </row>
    <row r="145">
      <c r="G145" s="37"/>
      <c r="I145" s="37"/>
    </row>
    <row r="146">
      <c r="G146" s="37"/>
      <c r="I146" s="37"/>
    </row>
    <row r="147">
      <c r="G147" s="37"/>
      <c r="I147" s="37"/>
    </row>
    <row r="148">
      <c r="G148" s="37"/>
      <c r="I148" s="37"/>
    </row>
    <row r="149">
      <c r="G149" s="37"/>
      <c r="I149" s="37"/>
    </row>
    <row r="150">
      <c r="G150" s="37"/>
      <c r="I150" s="37"/>
    </row>
    <row r="151">
      <c r="G151" s="37"/>
      <c r="I151" s="37"/>
    </row>
    <row r="152">
      <c r="G152" s="37"/>
      <c r="I152" s="37"/>
    </row>
    <row r="153">
      <c r="G153" s="37"/>
      <c r="I153" s="37"/>
    </row>
    <row r="154">
      <c r="G154" s="37"/>
      <c r="I154" s="37"/>
    </row>
    <row r="155">
      <c r="G155" s="37"/>
      <c r="I155" s="37"/>
    </row>
    <row r="156">
      <c r="G156" s="37"/>
      <c r="I156" s="37"/>
    </row>
    <row r="157">
      <c r="G157" s="37"/>
      <c r="I157" s="37"/>
    </row>
    <row r="158">
      <c r="G158" s="37"/>
      <c r="I158" s="37"/>
    </row>
    <row r="159">
      <c r="G159" s="37"/>
      <c r="I159" s="37"/>
    </row>
    <row r="160">
      <c r="G160" s="37"/>
      <c r="I160" s="37"/>
    </row>
    <row r="161">
      <c r="G161" s="37"/>
      <c r="I161" s="37"/>
    </row>
    <row r="162">
      <c r="G162" s="37"/>
      <c r="I162" s="37"/>
    </row>
    <row r="163">
      <c r="G163" s="37"/>
      <c r="I163" s="37"/>
    </row>
    <row r="164">
      <c r="G164" s="37"/>
      <c r="I164" s="37"/>
    </row>
    <row r="165">
      <c r="G165" s="37"/>
      <c r="I165" s="37"/>
    </row>
    <row r="166">
      <c r="G166" s="37"/>
      <c r="I166" s="37"/>
    </row>
    <row r="167">
      <c r="G167" s="37"/>
      <c r="I167" s="37"/>
    </row>
    <row r="168">
      <c r="G168" s="37"/>
      <c r="I168" s="37"/>
    </row>
    <row r="169">
      <c r="G169" s="37"/>
      <c r="I169" s="37"/>
    </row>
    <row r="170">
      <c r="G170" s="37"/>
      <c r="I170" s="37"/>
    </row>
    <row r="171">
      <c r="G171" s="37"/>
      <c r="I171" s="37"/>
    </row>
    <row r="172">
      <c r="G172" s="37"/>
      <c r="I172" s="37"/>
    </row>
    <row r="173">
      <c r="G173" s="37"/>
      <c r="I173" s="37"/>
    </row>
    <row r="174">
      <c r="G174" s="37"/>
      <c r="I174" s="37"/>
    </row>
    <row r="175">
      <c r="G175" s="37"/>
      <c r="I175" s="37"/>
    </row>
    <row r="176">
      <c r="G176" s="37"/>
      <c r="I176" s="37"/>
    </row>
    <row r="177">
      <c r="G177" s="37"/>
      <c r="I177" s="37"/>
    </row>
    <row r="178">
      <c r="G178" s="37"/>
      <c r="I178" s="37"/>
    </row>
    <row r="179">
      <c r="G179" s="37"/>
      <c r="I179" s="37"/>
    </row>
    <row r="180">
      <c r="G180" s="37"/>
      <c r="I180" s="37"/>
    </row>
    <row r="181">
      <c r="G181" s="37"/>
      <c r="I181" s="37"/>
    </row>
    <row r="182">
      <c r="G182" s="37"/>
      <c r="I182" s="37"/>
    </row>
    <row r="183">
      <c r="G183" s="37"/>
      <c r="I183" s="37"/>
    </row>
    <row r="184">
      <c r="G184" s="37"/>
      <c r="I184" s="37"/>
    </row>
    <row r="185">
      <c r="G185" s="37"/>
      <c r="I185" s="37"/>
    </row>
    <row r="186">
      <c r="G186" s="37"/>
      <c r="I186" s="37"/>
    </row>
    <row r="187">
      <c r="G187" s="37"/>
      <c r="I187" s="37"/>
    </row>
    <row r="188">
      <c r="G188" s="37"/>
      <c r="I188" s="37"/>
    </row>
    <row r="189">
      <c r="G189" s="37"/>
      <c r="I189" s="37"/>
    </row>
    <row r="190">
      <c r="G190" s="37"/>
      <c r="I190" s="37"/>
    </row>
    <row r="191">
      <c r="G191" s="37"/>
      <c r="I191" s="37"/>
    </row>
    <row r="192">
      <c r="G192" s="37"/>
      <c r="I192" s="37"/>
    </row>
    <row r="193">
      <c r="G193" s="37"/>
      <c r="I193" s="37"/>
    </row>
    <row r="194">
      <c r="G194" s="37"/>
      <c r="I194" s="37"/>
    </row>
    <row r="195">
      <c r="G195" s="37"/>
      <c r="I195" s="37"/>
    </row>
    <row r="196">
      <c r="G196" s="37"/>
      <c r="I196" s="37"/>
    </row>
    <row r="197">
      <c r="G197" s="37"/>
      <c r="I197" s="37"/>
    </row>
    <row r="198">
      <c r="G198" s="37"/>
      <c r="I198" s="37"/>
    </row>
    <row r="199">
      <c r="G199" s="37"/>
      <c r="I199" s="37"/>
    </row>
    <row r="200">
      <c r="G200" s="37"/>
      <c r="I200" s="37"/>
    </row>
    <row r="201">
      <c r="G201" s="37"/>
      <c r="I201" s="37"/>
    </row>
    <row r="202">
      <c r="G202" s="37"/>
      <c r="I202" s="37"/>
    </row>
    <row r="203">
      <c r="G203" s="37"/>
      <c r="I203" s="37"/>
    </row>
    <row r="204">
      <c r="G204" s="37"/>
      <c r="I204" s="37"/>
    </row>
    <row r="205">
      <c r="G205" s="37"/>
      <c r="I205" s="37"/>
    </row>
    <row r="206">
      <c r="G206" s="37"/>
      <c r="I206" s="37"/>
    </row>
    <row r="207">
      <c r="G207" s="37"/>
      <c r="I207" s="37"/>
    </row>
    <row r="208">
      <c r="G208" s="37"/>
      <c r="I208" s="37"/>
    </row>
    <row r="209">
      <c r="G209" s="37"/>
      <c r="I209" s="37"/>
    </row>
    <row r="210">
      <c r="G210" s="37"/>
      <c r="I210" s="37"/>
    </row>
    <row r="211">
      <c r="G211" s="37"/>
      <c r="I211" s="37"/>
    </row>
    <row r="212">
      <c r="G212" s="37"/>
      <c r="I212" s="37"/>
    </row>
    <row r="213">
      <c r="G213" s="37"/>
      <c r="I213" s="37"/>
    </row>
    <row r="214">
      <c r="G214" s="37"/>
      <c r="I214" s="37"/>
    </row>
    <row r="215">
      <c r="G215" s="37"/>
      <c r="I215" s="37"/>
    </row>
    <row r="216">
      <c r="G216" s="37"/>
      <c r="I216" s="37"/>
    </row>
    <row r="217">
      <c r="G217" s="37"/>
      <c r="I217" s="37"/>
    </row>
    <row r="218">
      <c r="G218" s="37"/>
      <c r="I218" s="37"/>
    </row>
    <row r="219">
      <c r="G219" s="37"/>
      <c r="I219" s="37"/>
    </row>
    <row r="220">
      <c r="G220" s="37"/>
      <c r="I220" s="37"/>
    </row>
    <row r="221">
      <c r="G221" s="37"/>
      <c r="I221" s="37"/>
    </row>
    <row r="222">
      <c r="G222" s="37"/>
      <c r="I222" s="37"/>
    </row>
    <row r="223">
      <c r="G223" s="37"/>
      <c r="I223" s="37"/>
    </row>
    <row r="224">
      <c r="G224" s="37"/>
      <c r="I224" s="37"/>
    </row>
    <row r="225">
      <c r="G225" s="37"/>
      <c r="I225" s="37"/>
    </row>
    <row r="226">
      <c r="G226" s="37"/>
      <c r="I226" s="37"/>
    </row>
    <row r="227">
      <c r="G227" s="37"/>
      <c r="I227" s="37"/>
    </row>
    <row r="228">
      <c r="G228" s="37"/>
      <c r="I228" s="37"/>
    </row>
    <row r="229">
      <c r="G229" s="37"/>
      <c r="I229" s="37"/>
    </row>
    <row r="230">
      <c r="G230" s="37"/>
      <c r="I230" s="37"/>
    </row>
    <row r="231">
      <c r="G231" s="37"/>
      <c r="I231" s="37"/>
    </row>
    <row r="232">
      <c r="G232" s="37"/>
      <c r="I232" s="37"/>
    </row>
    <row r="233">
      <c r="G233" s="37"/>
      <c r="I233" s="37"/>
    </row>
    <row r="234">
      <c r="G234" s="37"/>
      <c r="I234" s="37"/>
    </row>
    <row r="235">
      <c r="G235" s="37"/>
      <c r="I235" s="37"/>
    </row>
    <row r="236">
      <c r="G236" s="37"/>
      <c r="I236" s="37"/>
    </row>
    <row r="237">
      <c r="G237" s="37"/>
      <c r="I237" s="37"/>
    </row>
    <row r="238">
      <c r="G238" s="37"/>
      <c r="I238" s="37"/>
    </row>
    <row r="239">
      <c r="G239" s="37"/>
      <c r="I239" s="37"/>
    </row>
    <row r="240">
      <c r="G240" s="37"/>
      <c r="I240" s="37"/>
    </row>
    <row r="241">
      <c r="G241" s="37"/>
      <c r="I241" s="37"/>
    </row>
    <row r="242">
      <c r="G242" s="37"/>
      <c r="I242" s="37"/>
    </row>
    <row r="243">
      <c r="G243" s="37"/>
      <c r="I243" s="37"/>
    </row>
    <row r="244">
      <c r="G244" s="37"/>
      <c r="I244" s="37"/>
    </row>
    <row r="245">
      <c r="G245" s="37"/>
      <c r="I245" s="37"/>
    </row>
    <row r="246">
      <c r="G246" s="37"/>
      <c r="I246" s="37"/>
    </row>
    <row r="247">
      <c r="G247" s="37"/>
      <c r="I247" s="37"/>
    </row>
    <row r="248">
      <c r="G248" s="37"/>
      <c r="I248" s="37"/>
    </row>
    <row r="249">
      <c r="G249" s="37"/>
      <c r="I249" s="37"/>
    </row>
    <row r="250">
      <c r="G250" s="37"/>
      <c r="I250" s="37"/>
    </row>
    <row r="251">
      <c r="G251" s="37"/>
      <c r="I251" s="37"/>
    </row>
    <row r="252">
      <c r="G252" s="37"/>
      <c r="I252" s="37"/>
    </row>
    <row r="253">
      <c r="G253" s="37"/>
      <c r="I253" s="37"/>
    </row>
    <row r="254">
      <c r="G254" s="37"/>
      <c r="I254" s="37"/>
    </row>
    <row r="255">
      <c r="G255" s="37"/>
      <c r="I255" s="37"/>
    </row>
    <row r="256">
      <c r="G256" s="37"/>
      <c r="I256" s="37"/>
    </row>
    <row r="257">
      <c r="G257" s="37"/>
      <c r="I257" s="37"/>
    </row>
    <row r="258">
      <c r="G258" s="37"/>
      <c r="I258" s="37"/>
    </row>
    <row r="259">
      <c r="G259" s="37"/>
      <c r="I259" s="37"/>
    </row>
    <row r="260">
      <c r="G260" s="37"/>
      <c r="I260" s="37"/>
    </row>
    <row r="261">
      <c r="G261" s="37"/>
      <c r="I261" s="37"/>
    </row>
    <row r="262">
      <c r="G262" s="37"/>
      <c r="I262" s="37"/>
    </row>
    <row r="263">
      <c r="G263" s="37"/>
      <c r="I263" s="37"/>
    </row>
    <row r="264">
      <c r="G264" s="37"/>
      <c r="I264" s="37"/>
    </row>
    <row r="265">
      <c r="G265" s="37"/>
      <c r="I265" s="37"/>
    </row>
    <row r="266">
      <c r="G266" s="37"/>
      <c r="I266" s="37"/>
    </row>
    <row r="267">
      <c r="G267" s="37"/>
      <c r="I267" s="37"/>
    </row>
    <row r="268">
      <c r="G268" s="37"/>
      <c r="I268" s="37"/>
    </row>
    <row r="269">
      <c r="G269" s="37"/>
      <c r="I269" s="37"/>
    </row>
    <row r="270">
      <c r="G270" s="37"/>
      <c r="I270" s="37"/>
    </row>
    <row r="271">
      <c r="G271" s="37"/>
      <c r="I271" s="37"/>
    </row>
    <row r="272">
      <c r="G272" s="37"/>
      <c r="I272" s="37"/>
    </row>
    <row r="273">
      <c r="G273" s="37"/>
      <c r="I273" s="37"/>
    </row>
    <row r="274">
      <c r="G274" s="37"/>
      <c r="I274" s="37"/>
    </row>
    <row r="275">
      <c r="G275" s="37"/>
      <c r="I275" s="37"/>
    </row>
    <row r="276">
      <c r="G276" s="37"/>
      <c r="I276" s="37"/>
    </row>
    <row r="277">
      <c r="G277" s="37"/>
      <c r="I277" s="37"/>
    </row>
    <row r="278">
      <c r="G278" s="37"/>
      <c r="I278" s="37"/>
    </row>
    <row r="279">
      <c r="G279" s="37"/>
      <c r="I279" s="37"/>
    </row>
    <row r="280">
      <c r="G280" s="37"/>
      <c r="I280" s="37"/>
    </row>
    <row r="281">
      <c r="G281" s="37"/>
      <c r="I281" s="37"/>
    </row>
    <row r="282">
      <c r="G282" s="37"/>
      <c r="I282" s="37"/>
    </row>
    <row r="283">
      <c r="G283" s="37"/>
      <c r="I283" s="37"/>
    </row>
    <row r="284">
      <c r="G284" s="37"/>
      <c r="I284" s="37"/>
    </row>
    <row r="285">
      <c r="G285" s="37"/>
      <c r="I285" s="37"/>
    </row>
    <row r="286">
      <c r="G286" s="37"/>
      <c r="I286" s="37"/>
    </row>
    <row r="287">
      <c r="G287" s="37"/>
      <c r="I287" s="37"/>
    </row>
    <row r="288">
      <c r="G288" s="37"/>
      <c r="I288" s="37"/>
    </row>
    <row r="289">
      <c r="G289" s="37"/>
      <c r="I289" s="37"/>
    </row>
    <row r="290">
      <c r="G290" s="37"/>
      <c r="I290" s="37"/>
    </row>
    <row r="291">
      <c r="G291" s="37"/>
      <c r="I291" s="37"/>
    </row>
    <row r="292">
      <c r="G292" s="37"/>
      <c r="I292" s="37"/>
    </row>
    <row r="293">
      <c r="G293" s="37"/>
      <c r="I293" s="37"/>
    </row>
    <row r="294">
      <c r="G294" s="37"/>
      <c r="I294" s="37"/>
    </row>
    <row r="295">
      <c r="G295" s="37"/>
      <c r="I295" s="37"/>
    </row>
    <row r="296">
      <c r="G296" s="37"/>
      <c r="I296" s="37"/>
    </row>
    <row r="297">
      <c r="G297" s="37"/>
      <c r="I297" s="37"/>
    </row>
    <row r="298">
      <c r="G298" s="37"/>
      <c r="I298" s="37"/>
    </row>
    <row r="299">
      <c r="G299" s="37"/>
      <c r="I299" s="37"/>
    </row>
    <row r="300">
      <c r="G300" s="37"/>
      <c r="I300" s="37"/>
    </row>
    <row r="301">
      <c r="G301" s="37"/>
      <c r="I301" s="37"/>
    </row>
    <row r="302">
      <c r="G302" s="37"/>
      <c r="I302" s="37"/>
    </row>
    <row r="303">
      <c r="G303" s="37"/>
      <c r="I303" s="37"/>
    </row>
    <row r="304">
      <c r="G304" s="37"/>
      <c r="I304" s="37"/>
    </row>
    <row r="305">
      <c r="G305" s="37"/>
      <c r="I305" s="37"/>
    </row>
    <row r="306">
      <c r="G306" s="37"/>
      <c r="I306" s="37"/>
    </row>
    <row r="307">
      <c r="G307" s="37"/>
      <c r="I307" s="37"/>
    </row>
    <row r="308">
      <c r="G308" s="37"/>
      <c r="I308" s="37"/>
    </row>
    <row r="309">
      <c r="G309" s="37"/>
      <c r="I309" s="37"/>
    </row>
    <row r="310">
      <c r="G310" s="37"/>
      <c r="I310" s="37"/>
    </row>
    <row r="311">
      <c r="G311" s="37"/>
      <c r="I311" s="37"/>
    </row>
    <row r="312">
      <c r="G312" s="37"/>
      <c r="I312" s="37"/>
    </row>
    <row r="313">
      <c r="G313" s="37"/>
      <c r="I313" s="37"/>
    </row>
    <row r="314">
      <c r="G314" s="37"/>
      <c r="I314" s="37"/>
    </row>
    <row r="315">
      <c r="G315" s="37"/>
      <c r="I315" s="37"/>
    </row>
    <row r="316">
      <c r="G316" s="37"/>
      <c r="I316" s="37"/>
    </row>
    <row r="317">
      <c r="G317" s="37"/>
      <c r="I317" s="37"/>
    </row>
    <row r="318">
      <c r="G318" s="37"/>
      <c r="I318" s="37"/>
    </row>
    <row r="319">
      <c r="G319" s="37"/>
      <c r="I319" s="37"/>
    </row>
    <row r="320">
      <c r="G320" s="37"/>
      <c r="I320" s="37"/>
    </row>
    <row r="321">
      <c r="G321" s="37"/>
      <c r="I321" s="37"/>
    </row>
    <row r="322">
      <c r="G322" s="37"/>
      <c r="I322" s="37"/>
    </row>
    <row r="323">
      <c r="G323" s="37"/>
      <c r="I323" s="37"/>
    </row>
    <row r="324">
      <c r="G324" s="37"/>
      <c r="I324" s="37"/>
    </row>
    <row r="325">
      <c r="G325" s="37"/>
      <c r="I325" s="37"/>
    </row>
    <row r="326">
      <c r="G326" s="37"/>
      <c r="I326" s="37"/>
    </row>
    <row r="327">
      <c r="G327" s="37"/>
      <c r="I327" s="37"/>
    </row>
    <row r="328">
      <c r="G328" s="37"/>
      <c r="I328" s="37"/>
    </row>
    <row r="329">
      <c r="G329" s="37"/>
      <c r="I329" s="37"/>
    </row>
    <row r="330">
      <c r="G330" s="37"/>
      <c r="I330" s="37"/>
    </row>
    <row r="331">
      <c r="G331" s="37"/>
      <c r="I331" s="37"/>
    </row>
    <row r="332">
      <c r="G332" s="37"/>
      <c r="I332" s="37"/>
    </row>
    <row r="333">
      <c r="G333" s="37"/>
      <c r="I333" s="37"/>
    </row>
    <row r="334">
      <c r="G334" s="37"/>
      <c r="I334" s="37"/>
    </row>
    <row r="335">
      <c r="G335" s="37"/>
      <c r="I335" s="37"/>
    </row>
    <row r="336">
      <c r="G336" s="37"/>
      <c r="I336" s="37"/>
    </row>
    <row r="337">
      <c r="G337" s="37"/>
      <c r="I337" s="37"/>
    </row>
    <row r="338">
      <c r="G338" s="37"/>
      <c r="I338" s="37"/>
    </row>
    <row r="339">
      <c r="G339" s="37"/>
      <c r="I339" s="37"/>
    </row>
    <row r="340">
      <c r="G340" s="37"/>
      <c r="I340" s="37"/>
    </row>
    <row r="341">
      <c r="G341" s="37"/>
      <c r="I341" s="37"/>
    </row>
    <row r="342">
      <c r="G342" s="37"/>
      <c r="I342" s="37"/>
    </row>
    <row r="343">
      <c r="G343" s="37"/>
      <c r="I343" s="37"/>
    </row>
    <row r="344">
      <c r="G344" s="37"/>
      <c r="I344" s="37"/>
    </row>
    <row r="345">
      <c r="G345" s="37"/>
      <c r="I345" s="37"/>
    </row>
    <row r="346">
      <c r="G346" s="37"/>
      <c r="I346" s="37"/>
    </row>
    <row r="347">
      <c r="G347" s="37"/>
      <c r="I347" s="37"/>
    </row>
    <row r="348">
      <c r="G348" s="37"/>
      <c r="I348" s="37"/>
    </row>
    <row r="349">
      <c r="G349" s="37"/>
      <c r="I349" s="37"/>
    </row>
    <row r="350">
      <c r="G350" s="37"/>
      <c r="I350" s="37"/>
    </row>
    <row r="351">
      <c r="G351" s="37"/>
      <c r="I351" s="37"/>
    </row>
    <row r="352">
      <c r="G352" s="37"/>
      <c r="I352" s="37"/>
    </row>
    <row r="353">
      <c r="G353" s="37"/>
      <c r="I353" s="37"/>
    </row>
    <row r="354">
      <c r="G354" s="37"/>
      <c r="I354" s="37"/>
    </row>
    <row r="355">
      <c r="G355" s="37"/>
      <c r="I355" s="37"/>
    </row>
    <row r="356">
      <c r="G356" s="37"/>
      <c r="I356" s="37"/>
    </row>
    <row r="357">
      <c r="G357" s="37"/>
      <c r="I357" s="37"/>
    </row>
    <row r="358">
      <c r="G358" s="37"/>
      <c r="I358" s="37"/>
    </row>
    <row r="359">
      <c r="G359" s="37"/>
      <c r="I359" s="37"/>
    </row>
    <row r="360">
      <c r="G360" s="37"/>
      <c r="I360" s="37"/>
    </row>
    <row r="361">
      <c r="G361" s="37"/>
      <c r="I361" s="37"/>
    </row>
    <row r="362">
      <c r="G362" s="37"/>
      <c r="I362" s="37"/>
    </row>
    <row r="363">
      <c r="G363" s="37"/>
      <c r="I363" s="37"/>
    </row>
    <row r="364">
      <c r="G364" s="37"/>
      <c r="I364" s="37"/>
    </row>
    <row r="365">
      <c r="G365" s="37"/>
      <c r="I365" s="37"/>
    </row>
    <row r="366">
      <c r="G366" s="37"/>
      <c r="I366" s="37"/>
    </row>
    <row r="367">
      <c r="G367" s="37"/>
      <c r="I367" s="37"/>
    </row>
    <row r="368">
      <c r="G368" s="37"/>
      <c r="I368" s="37"/>
    </row>
    <row r="369">
      <c r="G369" s="37"/>
      <c r="I369" s="37"/>
    </row>
    <row r="370">
      <c r="G370" s="37"/>
      <c r="I370" s="37"/>
    </row>
    <row r="371">
      <c r="G371" s="37"/>
      <c r="I371" s="37"/>
    </row>
    <row r="372">
      <c r="G372" s="37"/>
      <c r="I372" s="37"/>
    </row>
    <row r="373">
      <c r="G373" s="37"/>
      <c r="I373" s="37"/>
    </row>
    <row r="374">
      <c r="G374" s="37"/>
      <c r="I374" s="37"/>
    </row>
    <row r="375">
      <c r="G375" s="37"/>
      <c r="I375" s="37"/>
    </row>
    <row r="376">
      <c r="G376" s="37"/>
      <c r="I376" s="37"/>
    </row>
    <row r="377">
      <c r="G377" s="37"/>
      <c r="I377" s="37"/>
    </row>
    <row r="378">
      <c r="G378" s="37"/>
      <c r="I378" s="37"/>
    </row>
    <row r="379">
      <c r="G379" s="37"/>
      <c r="I379" s="37"/>
    </row>
    <row r="380">
      <c r="G380" s="37"/>
      <c r="I380" s="37"/>
    </row>
    <row r="381">
      <c r="G381" s="37"/>
      <c r="I381" s="37"/>
    </row>
    <row r="382">
      <c r="G382" s="37"/>
      <c r="I382" s="37"/>
    </row>
    <row r="383">
      <c r="G383" s="37"/>
      <c r="I383" s="37"/>
    </row>
    <row r="384">
      <c r="G384" s="37"/>
      <c r="I384" s="37"/>
    </row>
    <row r="385">
      <c r="G385" s="37"/>
      <c r="I385" s="37"/>
    </row>
    <row r="386">
      <c r="G386" s="37"/>
      <c r="I386" s="37"/>
    </row>
    <row r="387">
      <c r="G387" s="37"/>
      <c r="I387" s="37"/>
    </row>
    <row r="388">
      <c r="G388" s="37"/>
      <c r="I388" s="37"/>
    </row>
    <row r="389">
      <c r="G389" s="37"/>
      <c r="I389" s="37"/>
    </row>
    <row r="390">
      <c r="G390" s="37"/>
      <c r="I390" s="37"/>
    </row>
    <row r="391">
      <c r="G391" s="37"/>
      <c r="I391" s="37"/>
    </row>
    <row r="392">
      <c r="G392" s="37"/>
      <c r="I392" s="37"/>
    </row>
    <row r="393">
      <c r="G393" s="37"/>
      <c r="I393" s="37"/>
    </row>
    <row r="394">
      <c r="G394" s="37"/>
      <c r="I394" s="37"/>
    </row>
    <row r="395">
      <c r="G395" s="37"/>
      <c r="I395" s="37"/>
    </row>
    <row r="396">
      <c r="G396" s="37"/>
      <c r="I396" s="37"/>
    </row>
    <row r="397">
      <c r="G397" s="37"/>
      <c r="I397" s="37"/>
    </row>
    <row r="398">
      <c r="G398" s="37"/>
      <c r="I398" s="37"/>
    </row>
    <row r="399">
      <c r="G399" s="37"/>
      <c r="I399" s="37"/>
    </row>
    <row r="400">
      <c r="G400" s="37"/>
      <c r="I400" s="37"/>
    </row>
    <row r="401">
      <c r="G401" s="37"/>
      <c r="I401" s="37"/>
    </row>
    <row r="402">
      <c r="G402" s="37"/>
      <c r="I402" s="37"/>
    </row>
    <row r="403">
      <c r="G403" s="37"/>
      <c r="I403" s="37"/>
    </row>
    <row r="404">
      <c r="G404" s="37"/>
      <c r="I404" s="37"/>
    </row>
    <row r="405">
      <c r="G405" s="37"/>
      <c r="I405" s="37"/>
    </row>
    <row r="406">
      <c r="G406" s="37"/>
      <c r="I406" s="37"/>
    </row>
    <row r="407">
      <c r="G407" s="37"/>
      <c r="I407" s="37"/>
    </row>
    <row r="408">
      <c r="G408" s="37"/>
      <c r="I408" s="37"/>
    </row>
    <row r="409">
      <c r="G409" s="37"/>
      <c r="I409" s="37"/>
    </row>
    <row r="410">
      <c r="G410" s="37"/>
      <c r="I410" s="37"/>
    </row>
    <row r="411">
      <c r="G411" s="37"/>
      <c r="I411" s="37"/>
    </row>
    <row r="412">
      <c r="G412" s="37"/>
      <c r="I412" s="37"/>
    </row>
    <row r="413">
      <c r="G413" s="37"/>
      <c r="I413" s="37"/>
    </row>
    <row r="414">
      <c r="G414" s="37"/>
      <c r="I414" s="37"/>
    </row>
    <row r="415">
      <c r="G415" s="37"/>
      <c r="I415" s="37"/>
    </row>
    <row r="416">
      <c r="G416" s="37"/>
      <c r="I416" s="37"/>
    </row>
    <row r="417">
      <c r="G417" s="37"/>
      <c r="I417" s="37"/>
    </row>
    <row r="418">
      <c r="G418" s="37"/>
      <c r="I418" s="37"/>
    </row>
    <row r="419">
      <c r="G419" s="37"/>
      <c r="I419" s="37"/>
    </row>
    <row r="420">
      <c r="G420" s="37"/>
      <c r="I420" s="37"/>
    </row>
    <row r="421">
      <c r="G421" s="37"/>
      <c r="I421" s="37"/>
    </row>
    <row r="422">
      <c r="G422" s="37"/>
      <c r="I422" s="37"/>
    </row>
    <row r="423">
      <c r="G423" s="37"/>
      <c r="I423" s="37"/>
    </row>
    <row r="424">
      <c r="G424" s="37"/>
      <c r="I424" s="37"/>
    </row>
    <row r="425">
      <c r="G425" s="37"/>
      <c r="I425" s="37"/>
    </row>
    <row r="426">
      <c r="G426" s="37"/>
      <c r="I426" s="37"/>
    </row>
    <row r="427">
      <c r="G427" s="37"/>
      <c r="I427" s="37"/>
    </row>
    <row r="428">
      <c r="G428" s="37"/>
      <c r="I428" s="37"/>
    </row>
    <row r="429">
      <c r="G429" s="37"/>
      <c r="I429" s="37"/>
    </row>
    <row r="430">
      <c r="G430" s="37"/>
      <c r="I430" s="37"/>
    </row>
    <row r="431">
      <c r="G431" s="37"/>
      <c r="I431" s="37"/>
    </row>
    <row r="432">
      <c r="G432" s="37"/>
      <c r="I432" s="37"/>
    </row>
    <row r="433">
      <c r="G433" s="37"/>
      <c r="I433" s="37"/>
    </row>
    <row r="434">
      <c r="G434" s="37"/>
      <c r="I434" s="37"/>
    </row>
    <row r="435">
      <c r="G435" s="37"/>
      <c r="I435" s="37"/>
    </row>
    <row r="436">
      <c r="G436" s="37"/>
      <c r="I436" s="37"/>
    </row>
    <row r="437">
      <c r="G437" s="37"/>
      <c r="I437" s="37"/>
    </row>
    <row r="438">
      <c r="G438" s="37"/>
      <c r="I438" s="37"/>
    </row>
    <row r="439">
      <c r="G439" s="37"/>
      <c r="I439" s="37"/>
    </row>
    <row r="440">
      <c r="G440" s="37"/>
      <c r="I440" s="37"/>
    </row>
    <row r="441">
      <c r="G441" s="37"/>
      <c r="I441" s="37"/>
    </row>
    <row r="442">
      <c r="G442" s="37"/>
      <c r="I442" s="37"/>
    </row>
    <row r="443">
      <c r="G443" s="37"/>
      <c r="I443" s="37"/>
    </row>
    <row r="444">
      <c r="G444" s="37"/>
      <c r="I444" s="37"/>
    </row>
    <row r="445">
      <c r="G445" s="37"/>
      <c r="I445" s="37"/>
    </row>
    <row r="446">
      <c r="G446" s="37"/>
      <c r="I446" s="37"/>
    </row>
    <row r="447">
      <c r="G447" s="37"/>
      <c r="I447" s="37"/>
    </row>
    <row r="448">
      <c r="G448" s="37"/>
      <c r="I448" s="37"/>
    </row>
    <row r="449">
      <c r="G449" s="37"/>
      <c r="I449" s="37"/>
    </row>
    <row r="450">
      <c r="G450" s="37"/>
      <c r="I450" s="37"/>
    </row>
    <row r="451">
      <c r="G451" s="37"/>
      <c r="I451" s="37"/>
    </row>
    <row r="452">
      <c r="G452" s="37"/>
      <c r="I452" s="37"/>
    </row>
    <row r="453">
      <c r="G453" s="37"/>
      <c r="I453" s="37"/>
    </row>
    <row r="454">
      <c r="G454" s="37"/>
      <c r="I454" s="37"/>
    </row>
    <row r="455">
      <c r="G455" s="37"/>
      <c r="I455" s="37"/>
    </row>
    <row r="456">
      <c r="G456" s="37"/>
      <c r="I456" s="37"/>
    </row>
    <row r="457">
      <c r="G457" s="37"/>
      <c r="I457" s="37"/>
    </row>
    <row r="458">
      <c r="G458" s="37"/>
      <c r="I458" s="37"/>
    </row>
    <row r="459">
      <c r="G459" s="37"/>
      <c r="I459" s="37"/>
    </row>
    <row r="460">
      <c r="G460" s="37"/>
      <c r="I460" s="37"/>
    </row>
    <row r="461">
      <c r="G461" s="37"/>
      <c r="I461" s="37"/>
    </row>
    <row r="462">
      <c r="G462" s="37"/>
      <c r="I462" s="37"/>
    </row>
    <row r="463">
      <c r="G463" s="37"/>
      <c r="I463" s="37"/>
    </row>
    <row r="464">
      <c r="G464" s="37"/>
      <c r="I464" s="37"/>
    </row>
    <row r="465">
      <c r="G465" s="37"/>
      <c r="I465" s="37"/>
    </row>
    <row r="466">
      <c r="G466" s="37"/>
      <c r="I466" s="37"/>
    </row>
    <row r="467">
      <c r="G467" s="37"/>
      <c r="I467" s="37"/>
    </row>
    <row r="468">
      <c r="G468" s="37"/>
      <c r="I468" s="37"/>
    </row>
    <row r="469">
      <c r="G469" s="37"/>
      <c r="I469" s="37"/>
    </row>
    <row r="470">
      <c r="G470" s="37"/>
      <c r="I470" s="37"/>
    </row>
    <row r="471">
      <c r="G471" s="37"/>
      <c r="I471" s="37"/>
    </row>
    <row r="472">
      <c r="G472" s="37"/>
      <c r="I472" s="37"/>
    </row>
    <row r="473">
      <c r="G473" s="37"/>
      <c r="I473" s="37"/>
    </row>
    <row r="474">
      <c r="G474" s="37"/>
      <c r="I474" s="37"/>
    </row>
    <row r="475">
      <c r="G475" s="37"/>
      <c r="I475" s="37"/>
    </row>
    <row r="476">
      <c r="G476" s="37"/>
      <c r="I476" s="37"/>
    </row>
    <row r="477">
      <c r="G477" s="37"/>
      <c r="I477" s="37"/>
    </row>
    <row r="478">
      <c r="G478" s="37"/>
      <c r="I478" s="37"/>
    </row>
    <row r="479">
      <c r="G479" s="37"/>
      <c r="I479" s="37"/>
    </row>
    <row r="480">
      <c r="G480" s="37"/>
      <c r="I480" s="37"/>
    </row>
    <row r="481">
      <c r="G481" s="37"/>
      <c r="I481" s="37"/>
    </row>
    <row r="482">
      <c r="G482" s="37"/>
      <c r="I482" s="37"/>
    </row>
    <row r="483">
      <c r="G483" s="37"/>
      <c r="I483" s="37"/>
    </row>
    <row r="484">
      <c r="G484" s="37"/>
      <c r="I484" s="37"/>
    </row>
    <row r="485">
      <c r="G485" s="37"/>
      <c r="I485" s="37"/>
    </row>
    <row r="486">
      <c r="G486" s="37"/>
      <c r="I486" s="37"/>
    </row>
    <row r="487">
      <c r="G487" s="37"/>
      <c r="I487" s="37"/>
    </row>
    <row r="488">
      <c r="G488" s="37"/>
      <c r="I488" s="37"/>
    </row>
    <row r="489">
      <c r="G489" s="37"/>
      <c r="I489" s="37"/>
    </row>
    <row r="490">
      <c r="G490" s="37"/>
      <c r="I490" s="37"/>
    </row>
    <row r="491">
      <c r="G491" s="37"/>
      <c r="I491" s="37"/>
    </row>
    <row r="492">
      <c r="G492" s="37"/>
      <c r="I492" s="37"/>
    </row>
    <row r="493">
      <c r="G493" s="37"/>
      <c r="I493" s="37"/>
    </row>
    <row r="494">
      <c r="G494" s="37"/>
      <c r="I494" s="37"/>
    </row>
    <row r="495">
      <c r="G495" s="37"/>
      <c r="I495" s="37"/>
    </row>
    <row r="496">
      <c r="G496" s="37"/>
      <c r="I496" s="37"/>
    </row>
    <row r="497">
      <c r="G497" s="37"/>
      <c r="I497" s="37"/>
    </row>
    <row r="498">
      <c r="G498" s="37"/>
      <c r="I498" s="37"/>
    </row>
    <row r="499">
      <c r="G499" s="37"/>
      <c r="I499" s="37"/>
    </row>
    <row r="500">
      <c r="G500" s="37"/>
      <c r="I500" s="37"/>
    </row>
    <row r="501">
      <c r="G501" s="37"/>
      <c r="I501" s="37"/>
    </row>
    <row r="502">
      <c r="G502" s="37"/>
      <c r="I502" s="37"/>
    </row>
    <row r="503">
      <c r="G503" s="37"/>
      <c r="I503" s="37"/>
    </row>
    <row r="504">
      <c r="G504" s="37"/>
      <c r="I504" s="37"/>
    </row>
    <row r="505">
      <c r="G505" s="37"/>
      <c r="I505" s="37"/>
    </row>
    <row r="506">
      <c r="G506" s="37"/>
      <c r="I506" s="37"/>
    </row>
    <row r="507">
      <c r="G507" s="37"/>
      <c r="I507" s="37"/>
    </row>
    <row r="508">
      <c r="G508" s="37"/>
      <c r="I508" s="37"/>
    </row>
    <row r="509">
      <c r="G509" s="37"/>
      <c r="I509" s="37"/>
    </row>
    <row r="510">
      <c r="G510" s="37"/>
      <c r="I510" s="37"/>
    </row>
    <row r="511">
      <c r="G511" s="37"/>
      <c r="I511" s="37"/>
    </row>
    <row r="512">
      <c r="G512" s="37"/>
      <c r="I512" s="37"/>
    </row>
    <row r="513">
      <c r="G513" s="37"/>
      <c r="I513" s="37"/>
    </row>
    <row r="514">
      <c r="G514" s="37"/>
      <c r="I514" s="37"/>
    </row>
    <row r="515">
      <c r="G515" s="37"/>
      <c r="I515" s="37"/>
    </row>
    <row r="516">
      <c r="G516" s="37"/>
      <c r="I516" s="37"/>
    </row>
    <row r="517">
      <c r="G517" s="37"/>
      <c r="I517" s="37"/>
    </row>
    <row r="518">
      <c r="G518" s="37"/>
      <c r="I518" s="37"/>
    </row>
    <row r="519">
      <c r="G519" s="37"/>
      <c r="I519" s="37"/>
    </row>
    <row r="520">
      <c r="G520" s="37"/>
      <c r="I520" s="37"/>
    </row>
    <row r="521">
      <c r="G521" s="37"/>
      <c r="I521" s="37"/>
    </row>
    <row r="522">
      <c r="G522" s="37"/>
      <c r="I522" s="37"/>
    </row>
    <row r="523">
      <c r="G523" s="37"/>
      <c r="I523" s="37"/>
    </row>
    <row r="524">
      <c r="G524" s="37"/>
      <c r="I524" s="37"/>
    </row>
    <row r="525">
      <c r="G525" s="37"/>
      <c r="I525" s="37"/>
    </row>
    <row r="526">
      <c r="G526" s="37"/>
      <c r="I526" s="37"/>
    </row>
    <row r="527">
      <c r="G527" s="37"/>
      <c r="I527" s="37"/>
    </row>
    <row r="528">
      <c r="G528" s="37"/>
      <c r="I528" s="37"/>
    </row>
    <row r="529">
      <c r="G529" s="37"/>
      <c r="I529" s="37"/>
    </row>
    <row r="530">
      <c r="G530" s="37"/>
      <c r="I530" s="37"/>
    </row>
    <row r="531">
      <c r="G531" s="37"/>
      <c r="I531" s="37"/>
    </row>
    <row r="532">
      <c r="G532" s="37"/>
      <c r="I532" s="37"/>
    </row>
    <row r="533">
      <c r="G533" s="37"/>
      <c r="I533" s="37"/>
    </row>
    <row r="534">
      <c r="G534" s="37"/>
      <c r="I534" s="37"/>
    </row>
    <row r="535">
      <c r="G535" s="37"/>
      <c r="I535" s="37"/>
    </row>
    <row r="536">
      <c r="G536" s="37"/>
      <c r="I536" s="37"/>
    </row>
    <row r="537">
      <c r="G537" s="37"/>
      <c r="I537" s="37"/>
    </row>
    <row r="538">
      <c r="G538" s="37"/>
      <c r="I538" s="37"/>
    </row>
    <row r="539">
      <c r="G539" s="37"/>
      <c r="I539" s="37"/>
    </row>
    <row r="540">
      <c r="G540" s="37"/>
      <c r="I540" s="37"/>
    </row>
    <row r="541">
      <c r="G541" s="37"/>
      <c r="I541" s="37"/>
    </row>
    <row r="542">
      <c r="G542" s="37"/>
      <c r="I542" s="37"/>
    </row>
    <row r="543">
      <c r="G543" s="37"/>
      <c r="I543" s="37"/>
    </row>
    <row r="544">
      <c r="G544" s="37"/>
      <c r="I544" s="37"/>
    </row>
    <row r="545">
      <c r="G545" s="37"/>
      <c r="I545" s="37"/>
    </row>
    <row r="546">
      <c r="G546" s="37"/>
      <c r="I546" s="37"/>
    </row>
    <row r="547">
      <c r="G547" s="37"/>
      <c r="I547" s="37"/>
    </row>
    <row r="548">
      <c r="G548" s="37"/>
      <c r="I548" s="37"/>
    </row>
    <row r="549">
      <c r="G549" s="37"/>
      <c r="I549" s="37"/>
    </row>
    <row r="550">
      <c r="G550" s="37"/>
      <c r="I550" s="37"/>
    </row>
    <row r="551">
      <c r="G551" s="37"/>
      <c r="I551" s="37"/>
    </row>
    <row r="552">
      <c r="G552" s="37"/>
      <c r="I552" s="37"/>
    </row>
    <row r="553">
      <c r="G553" s="37"/>
      <c r="I553" s="37"/>
    </row>
    <row r="554">
      <c r="G554" s="37"/>
      <c r="I554" s="37"/>
    </row>
    <row r="555">
      <c r="G555" s="37"/>
      <c r="I555" s="37"/>
    </row>
    <row r="556">
      <c r="G556" s="37"/>
      <c r="I556" s="37"/>
    </row>
    <row r="557">
      <c r="G557" s="37"/>
      <c r="I557" s="37"/>
    </row>
    <row r="558">
      <c r="G558" s="37"/>
      <c r="I558" s="37"/>
    </row>
    <row r="559">
      <c r="G559" s="37"/>
      <c r="I559" s="37"/>
    </row>
    <row r="560">
      <c r="G560" s="37"/>
      <c r="I560" s="37"/>
    </row>
    <row r="561">
      <c r="G561" s="37"/>
      <c r="I561" s="37"/>
    </row>
    <row r="562">
      <c r="G562" s="37"/>
      <c r="I562" s="37"/>
    </row>
    <row r="563">
      <c r="G563" s="37"/>
      <c r="I563" s="37"/>
    </row>
    <row r="564">
      <c r="G564" s="37"/>
      <c r="I564" s="37"/>
    </row>
    <row r="565">
      <c r="G565" s="37"/>
      <c r="I565" s="37"/>
    </row>
    <row r="566">
      <c r="G566" s="37"/>
      <c r="I566" s="37"/>
    </row>
    <row r="567">
      <c r="G567" s="37"/>
      <c r="I567" s="37"/>
    </row>
    <row r="568">
      <c r="G568" s="37"/>
      <c r="I568" s="37"/>
    </row>
    <row r="569">
      <c r="G569" s="37"/>
      <c r="I569" s="37"/>
    </row>
    <row r="570">
      <c r="G570" s="37"/>
      <c r="I570" s="37"/>
    </row>
    <row r="571">
      <c r="G571" s="37"/>
      <c r="I571" s="37"/>
    </row>
    <row r="572">
      <c r="G572" s="37"/>
      <c r="I572" s="37"/>
    </row>
    <row r="573">
      <c r="G573" s="37"/>
      <c r="I573" s="37"/>
    </row>
    <row r="574">
      <c r="G574" s="37"/>
      <c r="I574" s="37"/>
    </row>
    <row r="575">
      <c r="G575" s="37"/>
      <c r="I575" s="37"/>
    </row>
    <row r="576">
      <c r="G576" s="37"/>
      <c r="I576" s="37"/>
    </row>
    <row r="577">
      <c r="G577" s="37"/>
      <c r="I577" s="37"/>
    </row>
    <row r="578">
      <c r="G578" s="37"/>
      <c r="I578" s="37"/>
    </row>
    <row r="579">
      <c r="G579" s="37"/>
      <c r="I579" s="37"/>
    </row>
    <row r="580">
      <c r="G580" s="37"/>
      <c r="I580" s="37"/>
    </row>
    <row r="581">
      <c r="G581" s="37"/>
      <c r="I581" s="37"/>
    </row>
    <row r="582">
      <c r="G582" s="37"/>
      <c r="I582" s="37"/>
    </row>
    <row r="583">
      <c r="G583" s="37"/>
      <c r="I583" s="37"/>
    </row>
    <row r="584">
      <c r="G584" s="37"/>
      <c r="I584" s="37"/>
    </row>
    <row r="585">
      <c r="G585" s="37"/>
      <c r="I585" s="37"/>
    </row>
    <row r="586">
      <c r="G586" s="37"/>
      <c r="I586" s="37"/>
    </row>
    <row r="587">
      <c r="G587" s="37"/>
      <c r="I587" s="37"/>
    </row>
    <row r="588">
      <c r="G588" s="37"/>
      <c r="I588" s="37"/>
    </row>
    <row r="589">
      <c r="G589" s="37"/>
      <c r="I589" s="37"/>
    </row>
    <row r="590">
      <c r="G590" s="37"/>
      <c r="I590" s="37"/>
    </row>
    <row r="591">
      <c r="G591" s="37"/>
      <c r="I591" s="37"/>
    </row>
    <row r="592">
      <c r="G592" s="37"/>
      <c r="I592" s="37"/>
    </row>
    <row r="593">
      <c r="G593" s="37"/>
      <c r="I593" s="37"/>
    </row>
    <row r="594">
      <c r="G594" s="37"/>
      <c r="I594" s="37"/>
    </row>
    <row r="595">
      <c r="G595" s="37"/>
      <c r="I595" s="37"/>
    </row>
    <row r="596">
      <c r="G596" s="37"/>
      <c r="I596" s="37"/>
    </row>
    <row r="597">
      <c r="G597" s="37"/>
      <c r="I597" s="37"/>
    </row>
    <row r="598">
      <c r="G598" s="37"/>
      <c r="I598" s="37"/>
    </row>
    <row r="599">
      <c r="G599" s="37"/>
      <c r="I599" s="37"/>
    </row>
    <row r="600">
      <c r="G600" s="37"/>
      <c r="I600" s="37"/>
    </row>
    <row r="601">
      <c r="G601" s="37"/>
      <c r="I601" s="37"/>
    </row>
    <row r="602">
      <c r="G602" s="37"/>
      <c r="I602" s="37"/>
    </row>
    <row r="603">
      <c r="G603" s="37"/>
      <c r="I603" s="37"/>
    </row>
    <row r="604">
      <c r="G604" s="37"/>
      <c r="I604" s="37"/>
    </row>
    <row r="605">
      <c r="G605" s="37"/>
      <c r="I605" s="37"/>
    </row>
    <row r="606">
      <c r="G606" s="37"/>
      <c r="I606" s="37"/>
    </row>
    <row r="607">
      <c r="G607" s="37"/>
      <c r="I607" s="37"/>
    </row>
    <row r="608">
      <c r="G608" s="37"/>
      <c r="I608" s="37"/>
    </row>
    <row r="609">
      <c r="G609" s="37"/>
      <c r="I609" s="37"/>
    </row>
    <row r="610">
      <c r="G610" s="37"/>
      <c r="I610" s="37"/>
    </row>
    <row r="611">
      <c r="G611" s="37"/>
      <c r="I611" s="37"/>
    </row>
    <row r="612">
      <c r="G612" s="37"/>
      <c r="I612" s="37"/>
    </row>
    <row r="613">
      <c r="G613" s="37"/>
      <c r="I613" s="37"/>
    </row>
    <row r="614">
      <c r="G614" s="37"/>
      <c r="I614" s="37"/>
    </row>
    <row r="615">
      <c r="G615" s="37"/>
      <c r="I615" s="37"/>
    </row>
    <row r="616">
      <c r="G616" s="37"/>
      <c r="I616" s="37"/>
    </row>
    <row r="617">
      <c r="G617" s="37"/>
      <c r="I617" s="37"/>
    </row>
    <row r="618">
      <c r="G618" s="37"/>
      <c r="I618" s="37"/>
    </row>
    <row r="619">
      <c r="G619" s="37"/>
      <c r="I619" s="37"/>
    </row>
    <row r="620">
      <c r="G620" s="37"/>
      <c r="I620" s="37"/>
    </row>
    <row r="621">
      <c r="G621" s="37"/>
      <c r="I621" s="37"/>
    </row>
    <row r="622">
      <c r="G622" s="37"/>
      <c r="I622" s="37"/>
    </row>
    <row r="623">
      <c r="G623" s="37"/>
      <c r="I623" s="37"/>
    </row>
    <row r="624">
      <c r="G624" s="37"/>
      <c r="I624" s="37"/>
    </row>
    <row r="625">
      <c r="G625" s="37"/>
      <c r="I625" s="37"/>
    </row>
    <row r="626">
      <c r="G626" s="37"/>
      <c r="I626" s="37"/>
    </row>
    <row r="627">
      <c r="G627" s="37"/>
      <c r="I627" s="37"/>
    </row>
    <row r="628">
      <c r="G628" s="37"/>
      <c r="I628" s="37"/>
    </row>
    <row r="629">
      <c r="G629" s="37"/>
      <c r="I629" s="37"/>
    </row>
    <row r="630">
      <c r="G630" s="37"/>
      <c r="I630" s="37"/>
    </row>
    <row r="631">
      <c r="G631" s="37"/>
      <c r="I631" s="37"/>
    </row>
    <row r="632">
      <c r="G632" s="37"/>
      <c r="I632" s="37"/>
    </row>
    <row r="633">
      <c r="G633" s="37"/>
      <c r="I633" s="37"/>
    </row>
    <row r="634">
      <c r="G634" s="37"/>
      <c r="I634" s="37"/>
    </row>
    <row r="635">
      <c r="G635" s="37"/>
      <c r="I635" s="37"/>
    </row>
    <row r="636">
      <c r="G636" s="37"/>
      <c r="I636" s="37"/>
    </row>
    <row r="637">
      <c r="G637" s="37"/>
      <c r="I637" s="37"/>
    </row>
    <row r="638">
      <c r="G638" s="37"/>
      <c r="I638" s="37"/>
    </row>
    <row r="639">
      <c r="G639" s="37"/>
      <c r="I639" s="37"/>
    </row>
    <row r="640">
      <c r="G640" s="37"/>
      <c r="I640" s="37"/>
    </row>
    <row r="641">
      <c r="G641" s="37"/>
      <c r="I641" s="37"/>
    </row>
    <row r="642">
      <c r="G642" s="37"/>
      <c r="I642" s="37"/>
    </row>
    <row r="643">
      <c r="G643" s="37"/>
      <c r="I643" s="37"/>
    </row>
    <row r="644">
      <c r="G644" s="37"/>
      <c r="I644" s="37"/>
    </row>
    <row r="645">
      <c r="G645" s="37"/>
      <c r="I645" s="37"/>
    </row>
    <row r="646">
      <c r="G646" s="37"/>
      <c r="I646" s="37"/>
    </row>
    <row r="647">
      <c r="G647" s="37"/>
      <c r="I647" s="37"/>
    </row>
    <row r="648">
      <c r="G648" s="37"/>
      <c r="I648" s="37"/>
    </row>
    <row r="649">
      <c r="G649" s="37"/>
      <c r="I649" s="37"/>
    </row>
    <row r="650">
      <c r="G650" s="37"/>
      <c r="I650" s="37"/>
    </row>
    <row r="651">
      <c r="G651" s="37"/>
      <c r="I651" s="37"/>
    </row>
    <row r="652">
      <c r="G652" s="37"/>
      <c r="I652" s="37"/>
    </row>
    <row r="653">
      <c r="G653" s="37"/>
      <c r="I653" s="37"/>
    </row>
    <row r="654">
      <c r="G654" s="37"/>
      <c r="I654" s="37"/>
    </row>
    <row r="655">
      <c r="G655" s="37"/>
      <c r="I655" s="37"/>
    </row>
    <row r="656">
      <c r="G656" s="37"/>
      <c r="I656" s="37"/>
    </row>
    <row r="657">
      <c r="G657" s="37"/>
      <c r="I657" s="37"/>
    </row>
    <row r="658">
      <c r="G658" s="37"/>
      <c r="I658" s="37"/>
    </row>
    <row r="659">
      <c r="G659" s="37"/>
      <c r="I659" s="37"/>
    </row>
    <row r="660">
      <c r="G660" s="37"/>
      <c r="I660" s="37"/>
    </row>
    <row r="661">
      <c r="G661" s="37"/>
      <c r="I661" s="37"/>
    </row>
    <row r="662">
      <c r="G662" s="37"/>
      <c r="I662" s="37"/>
    </row>
    <row r="663">
      <c r="G663" s="37"/>
      <c r="I663" s="37"/>
    </row>
    <row r="664">
      <c r="G664" s="37"/>
      <c r="I664" s="37"/>
    </row>
    <row r="665">
      <c r="G665" s="37"/>
      <c r="I665" s="37"/>
    </row>
    <row r="666">
      <c r="G666" s="37"/>
      <c r="I666" s="37"/>
    </row>
    <row r="667">
      <c r="G667" s="37"/>
      <c r="I667" s="37"/>
    </row>
    <row r="668">
      <c r="G668" s="37"/>
      <c r="I668" s="37"/>
    </row>
    <row r="669">
      <c r="G669" s="37"/>
      <c r="I669" s="37"/>
    </row>
    <row r="670">
      <c r="G670" s="37"/>
      <c r="I670" s="37"/>
    </row>
    <row r="671">
      <c r="G671" s="37"/>
      <c r="I671" s="37"/>
    </row>
    <row r="672">
      <c r="G672" s="37"/>
      <c r="I672" s="37"/>
    </row>
    <row r="673">
      <c r="G673" s="37"/>
      <c r="I673" s="37"/>
    </row>
    <row r="674">
      <c r="G674" s="37"/>
      <c r="I674" s="37"/>
    </row>
    <row r="675">
      <c r="G675" s="37"/>
      <c r="I675" s="37"/>
    </row>
    <row r="676">
      <c r="G676" s="37"/>
      <c r="I676" s="37"/>
    </row>
    <row r="677">
      <c r="G677" s="37"/>
      <c r="I677" s="37"/>
    </row>
    <row r="678">
      <c r="G678" s="37"/>
      <c r="I678" s="37"/>
    </row>
    <row r="679">
      <c r="G679" s="37"/>
      <c r="I679" s="37"/>
    </row>
    <row r="680">
      <c r="G680" s="37"/>
      <c r="I680" s="37"/>
    </row>
    <row r="681">
      <c r="G681" s="37"/>
      <c r="I681" s="37"/>
    </row>
    <row r="682">
      <c r="G682" s="37"/>
      <c r="I682" s="37"/>
    </row>
    <row r="683">
      <c r="G683" s="37"/>
      <c r="I683" s="37"/>
    </row>
    <row r="684">
      <c r="G684" s="37"/>
      <c r="I684" s="37"/>
    </row>
    <row r="685">
      <c r="G685" s="37"/>
      <c r="I685" s="37"/>
    </row>
    <row r="686">
      <c r="G686" s="37"/>
      <c r="I686" s="37"/>
    </row>
    <row r="687">
      <c r="G687" s="37"/>
      <c r="I687" s="37"/>
    </row>
    <row r="688">
      <c r="G688" s="37"/>
      <c r="I688" s="37"/>
    </row>
    <row r="689">
      <c r="G689" s="37"/>
      <c r="I689" s="37"/>
    </row>
    <row r="690">
      <c r="G690" s="37"/>
      <c r="I690" s="37"/>
    </row>
    <row r="691">
      <c r="G691" s="37"/>
      <c r="I691" s="37"/>
    </row>
    <row r="692">
      <c r="G692" s="37"/>
      <c r="I692" s="37"/>
    </row>
    <row r="693">
      <c r="G693" s="37"/>
      <c r="I693" s="37"/>
    </row>
    <row r="694">
      <c r="G694" s="37"/>
      <c r="I694" s="37"/>
    </row>
    <row r="695">
      <c r="G695" s="37"/>
      <c r="I695" s="37"/>
    </row>
    <row r="696">
      <c r="G696" s="37"/>
      <c r="I696" s="37"/>
    </row>
    <row r="697">
      <c r="G697" s="37"/>
      <c r="I697" s="37"/>
    </row>
    <row r="698">
      <c r="G698" s="37"/>
      <c r="I698" s="37"/>
    </row>
    <row r="699">
      <c r="G699" s="37"/>
      <c r="I699" s="37"/>
    </row>
    <row r="700">
      <c r="G700" s="37"/>
      <c r="I700" s="37"/>
    </row>
    <row r="701">
      <c r="G701" s="37"/>
      <c r="I701" s="37"/>
    </row>
    <row r="702">
      <c r="G702" s="37"/>
      <c r="I702" s="37"/>
    </row>
    <row r="703">
      <c r="G703" s="37"/>
      <c r="I703" s="37"/>
    </row>
    <row r="704">
      <c r="G704" s="37"/>
      <c r="I704" s="37"/>
    </row>
    <row r="705">
      <c r="G705" s="37"/>
      <c r="I705" s="37"/>
    </row>
    <row r="706">
      <c r="G706" s="37"/>
      <c r="I706" s="37"/>
    </row>
    <row r="707">
      <c r="G707" s="37"/>
      <c r="I707" s="37"/>
    </row>
    <row r="708">
      <c r="G708" s="37"/>
      <c r="I708" s="37"/>
    </row>
    <row r="709">
      <c r="G709" s="37"/>
      <c r="I709" s="37"/>
    </row>
    <row r="710">
      <c r="G710" s="37"/>
      <c r="I710" s="37"/>
    </row>
    <row r="711">
      <c r="G711" s="37"/>
      <c r="I711" s="37"/>
    </row>
    <row r="712">
      <c r="G712" s="37"/>
      <c r="I712" s="37"/>
    </row>
    <row r="713">
      <c r="G713" s="37"/>
      <c r="I713" s="37"/>
    </row>
    <row r="714">
      <c r="G714" s="37"/>
      <c r="I714" s="37"/>
    </row>
    <row r="715">
      <c r="G715" s="37"/>
      <c r="I715" s="37"/>
    </row>
    <row r="716">
      <c r="G716" s="37"/>
      <c r="I716" s="37"/>
    </row>
    <row r="717">
      <c r="G717" s="37"/>
      <c r="I717" s="37"/>
    </row>
    <row r="718">
      <c r="G718" s="37"/>
      <c r="I718" s="37"/>
    </row>
    <row r="719">
      <c r="G719" s="37"/>
      <c r="I719" s="37"/>
    </row>
    <row r="720">
      <c r="G720" s="37"/>
      <c r="I720" s="37"/>
    </row>
    <row r="721">
      <c r="G721" s="37"/>
      <c r="I721" s="37"/>
    </row>
    <row r="722">
      <c r="G722" s="37"/>
      <c r="I722" s="37"/>
    </row>
    <row r="723">
      <c r="G723" s="37"/>
      <c r="I723" s="37"/>
    </row>
    <row r="724">
      <c r="G724" s="37"/>
      <c r="I724" s="37"/>
    </row>
    <row r="725">
      <c r="G725" s="37"/>
      <c r="I725" s="37"/>
    </row>
    <row r="726">
      <c r="G726" s="37"/>
      <c r="I726" s="37"/>
    </row>
    <row r="727">
      <c r="G727" s="37"/>
      <c r="I727" s="37"/>
    </row>
    <row r="728">
      <c r="G728" s="37"/>
      <c r="I728" s="37"/>
    </row>
    <row r="729">
      <c r="G729" s="37"/>
      <c r="I729" s="37"/>
    </row>
    <row r="730">
      <c r="G730" s="37"/>
      <c r="I730" s="37"/>
    </row>
    <row r="731">
      <c r="G731" s="37"/>
      <c r="I731" s="37"/>
    </row>
    <row r="732">
      <c r="G732" s="37"/>
      <c r="I732" s="37"/>
    </row>
    <row r="733">
      <c r="G733" s="37"/>
      <c r="I733" s="37"/>
    </row>
    <row r="734">
      <c r="G734" s="37"/>
      <c r="I734" s="37"/>
    </row>
    <row r="735">
      <c r="G735" s="37"/>
      <c r="I735" s="37"/>
    </row>
    <row r="736">
      <c r="G736" s="37"/>
      <c r="I736" s="37"/>
    </row>
    <row r="737">
      <c r="G737" s="37"/>
      <c r="I737" s="37"/>
    </row>
    <row r="738">
      <c r="G738" s="37"/>
      <c r="I738" s="37"/>
    </row>
    <row r="739">
      <c r="G739" s="37"/>
      <c r="I739" s="37"/>
    </row>
    <row r="740">
      <c r="G740" s="37"/>
      <c r="I740" s="37"/>
    </row>
    <row r="741">
      <c r="G741" s="37"/>
      <c r="I741" s="37"/>
    </row>
    <row r="742">
      <c r="G742" s="37"/>
      <c r="I742" s="37"/>
    </row>
    <row r="743">
      <c r="G743" s="37"/>
      <c r="I743" s="37"/>
    </row>
    <row r="744">
      <c r="G744" s="37"/>
      <c r="I744" s="37"/>
    </row>
    <row r="745">
      <c r="G745" s="37"/>
      <c r="I745" s="37"/>
    </row>
    <row r="746">
      <c r="G746" s="37"/>
      <c r="I746" s="37"/>
    </row>
    <row r="747">
      <c r="G747" s="37"/>
      <c r="I747" s="37"/>
    </row>
    <row r="748">
      <c r="G748" s="37"/>
      <c r="I748" s="37"/>
    </row>
    <row r="749">
      <c r="G749" s="37"/>
      <c r="I749" s="37"/>
    </row>
    <row r="750">
      <c r="G750" s="37"/>
      <c r="I750" s="37"/>
    </row>
    <row r="751">
      <c r="G751" s="37"/>
      <c r="I751" s="37"/>
    </row>
    <row r="752">
      <c r="G752" s="37"/>
      <c r="I752" s="37"/>
    </row>
    <row r="753">
      <c r="G753" s="37"/>
      <c r="I753" s="37"/>
    </row>
    <row r="754">
      <c r="G754" s="37"/>
      <c r="I754" s="37"/>
    </row>
    <row r="755">
      <c r="G755" s="37"/>
      <c r="I755" s="37"/>
    </row>
    <row r="756">
      <c r="G756" s="37"/>
      <c r="I756" s="37"/>
    </row>
    <row r="757">
      <c r="G757" s="37"/>
      <c r="I757" s="37"/>
    </row>
    <row r="758">
      <c r="G758" s="37"/>
      <c r="I758" s="37"/>
    </row>
    <row r="759">
      <c r="G759" s="37"/>
      <c r="I759" s="37"/>
    </row>
    <row r="760">
      <c r="G760" s="37"/>
      <c r="I760" s="37"/>
    </row>
    <row r="761">
      <c r="G761" s="37"/>
      <c r="I761" s="37"/>
    </row>
    <row r="762">
      <c r="G762" s="37"/>
      <c r="I762" s="37"/>
    </row>
    <row r="763">
      <c r="G763" s="37"/>
      <c r="I763" s="37"/>
    </row>
    <row r="764">
      <c r="G764" s="37"/>
      <c r="I764" s="37"/>
    </row>
    <row r="765">
      <c r="G765" s="37"/>
      <c r="I765" s="37"/>
    </row>
    <row r="766">
      <c r="G766" s="37"/>
      <c r="I766" s="37"/>
    </row>
    <row r="767">
      <c r="G767" s="37"/>
      <c r="I767" s="37"/>
    </row>
    <row r="768">
      <c r="G768" s="37"/>
      <c r="I768" s="37"/>
    </row>
    <row r="769">
      <c r="G769" s="37"/>
      <c r="I769" s="37"/>
    </row>
    <row r="770">
      <c r="G770" s="37"/>
      <c r="I770" s="37"/>
    </row>
    <row r="771">
      <c r="G771" s="37"/>
      <c r="I771" s="37"/>
    </row>
    <row r="772">
      <c r="G772" s="37"/>
      <c r="I772" s="37"/>
    </row>
    <row r="773">
      <c r="G773" s="37"/>
      <c r="I773" s="37"/>
    </row>
    <row r="774">
      <c r="G774" s="37"/>
      <c r="I774" s="37"/>
    </row>
    <row r="775">
      <c r="G775" s="37"/>
      <c r="I775" s="37"/>
    </row>
    <row r="776">
      <c r="G776" s="37"/>
      <c r="I776" s="37"/>
    </row>
    <row r="777">
      <c r="G777" s="37"/>
      <c r="I777" s="37"/>
    </row>
    <row r="778">
      <c r="G778" s="37"/>
      <c r="I778" s="37"/>
    </row>
    <row r="779">
      <c r="G779" s="37"/>
      <c r="I779" s="37"/>
    </row>
    <row r="780">
      <c r="G780" s="37"/>
      <c r="I780" s="37"/>
    </row>
    <row r="781">
      <c r="G781" s="37"/>
      <c r="I781" s="37"/>
    </row>
    <row r="782">
      <c r="G782" s="37"/>
      <c r="I782" s="37"/>
    </row>
    <row r="783">
      <c r="G783" s="37"/>
      <c r="I783" s="37"/>
    </row>
    <row r="784">
      <c r="G784" s="37"/>
      <c r="I784" s="37"/>
    </row>
    <row r="785">
      <c r="G785" s="37"/>
      <c r="I785" s="37"/>
    </row>
    <row r="786">
      <c r="G786" s="37"/>
      <c r="I786" s="37"/>
    </row>
    <row r="787">
      <c r="G787" s="37"/>
      <c r="I787" s="37"/>
    </row>
    <row r="788">
      <c r="G788" s="37"/>
      <c r="I788" s="37"/>
    </row>
    <row r="789">
      <c r="G789" s="37"/>
      <c r="I789" s="37"/>
    </row>
    <row r="790">
      <c r="G790" s="37"/>
      <c r="I790" s="37"/>
    </row>
    <row r="791">
      <c r="G791" s="37"/>
      <c r="I791" s="37"/>
    </row>
    <row r="792">
      <c r="G792" s="37"/>
      <c r="I792" s="37"/>
    </row>
    <row r="793">
      <c r="G793" s="37"/>
      <c r="I793" s="37"/>
    </row>
    <row r="794">
      <c r="G794" s="37"/>
      <c r="I794" s="37"/>
    </row>
    <row r="795">
      <c r="G795" s="37"/>
      <c r="I795" s="37"/>
    </row>
    <row r="796">
      <c r="G796" s="37"/>
      <c r="I796" s="37"/>
    </row>
    <row r="797">
      <c r="G797" s="37"/>
      <c r="I797" s="37"/>
    </row>
    <row r="798">
      <c r="G798" s="37"/>
      <c r="I798" s="37"/>
    </row>
    <row r="799">
      <c r="G799" s="37"/>
      <c r="I799" s="37"/>
    </row>
    <row r="800">
      <c r="G800" s="37"/>
      <c r="I800" s="37"/>
    </row>
    <row r="801">
      <c r="G801" s="37"/>
      <c r="I801" s="37"/>
    </row>
    <row r="802">
      <c r="G802" s="37"/>
      <c r="I802" s="37"/>
    </row>
    <row r="803">
      <c r="G803" s="37"/>
      <c r="I803" s="37"/>
    </row>
    <row r="804">
      <c r="G804" s="37"/>
      <c r="I804" s="37"/>
    </row>
    <row r="805">
      <c r="G805" s="37"/>
      <c r="I805" s="37"/>
    </row>
    <row r="806">
      <c r="G806" s="37"/>
      <c r="I806" s="37"/>
    </row>
    <row r="807">
      <c r="G807" s="37"/>
      <c r="I807" s="37"/>
    </row>
    <row r="808">
      <c r="G808" s="37"/>
      <c r="I808" s="37"/>
    </row>
    <row r="809">
      <c r="G809" s="37"/>
      <c r="I809" s="37"/>
    </row>
    <row r="810">
      <c r="G810" s="37"/>
      <c r="I810" s="37"/>
    </row>
    <row r="811">
      <c r="G811" s="37"/>
      <c r="I811" s="37"/>
    </row>
    <row r="812">
      <c r="G812" s="37"/>
      <c r="I812" s="37"/>
    </row>
    <row r="813">
      <c r="G813" s="37"/>
      <c r="I813" s="37"/>
    </row>
    <row r="814">
      <c r="G814" s="37"/>
      <c r="I814" s="37"/>
    </row>
    <row r="815">
      <c r="G815" s="37"/>
      <c r="I815" s="37"/>
    </row>
    <row r="816">
      <c r="G816" s="37"/>
      <c r="I816" s="37"/>
    </row>
    <row r="817">
      <c r="G817" s="37"/>
      <c r="I817" s="37"/>
    </row>
    <row r="818">
      <c r="G818" s="37"/>
      <c r="I818" s="37"/>
    </row>
    <row r="819">
      <c r="G819" s="37"/>
      <c r="I819" s="37"/>
    </row>
    <row r="820">
      <c r="G820" s="37"/>
      <c r="I820" s="37"/>
    </row>
    <row r="821">
      <c r="G821" s="37"/>
      <c r="I821" s="37"/>
    </row>
    <row r="822">
      <c r="G822" s="37"/>
      <c r="I822" s="37"/>
    </row>
    <row r="823">
      <c r="G823" s="37"/>
      <c r="I823" s="37"/>
    </row>
    <row r="824">
      <c r="G824" s="37"/>
      <c r="I824" s="37"/>
    </row>
    <row r="825">
      <c r="G825" s="37"/>
      <c r="I825" s="37"/>
    </row>
    <row r="826">
      <c r="G826" s="37"/>
      <c r="I826" s="37"/>
    </row>
    <row r="827">
      <c r="G827" s="37"/>
      <c r="I827" s="37"/>
    </row>
    <row r="828">
      <c r="G828" s="37"/>
      <c r="I828" s="37"/>
    </row>
    <row r="829">
      <c r="G829" s="37"/>
      <c r="I829" s="37"/>
    </row>
    <row r="830">
      <c r="G830" s="37"/>
      <c r="I830" s="37"/>
    </row>
    <row r="831">
      <c r="G831" s="37"/>
      <c r="I831" s="37"/>
    </row>
    <row r="832">
      <c r="G832" s="37"/>
      <c r="I832" s="37"/>
    </row>
    <row r="833">
      <c r="G833" s="37"/>
      <c r="I833" s="37"/>
    </row>
    <row r="834">
      <c r="G834" s="37"/>
      <c r="I834" s="37"/>
    </row>
    <row r="835">
      <c r="G835" s="37"/>
      <c r="I835" s="37"/>
    </row>
    <row r="836">
      <c r="G836" s="37"/>
      <c r="I836" s="37"/>
    </row>
    <row r="837">
      <c r="G837" s="37"/>
      <c r="I837" s="37"/>
    </row>
    <row r="838">
      <c r="G838" s="37"/>
      <c r="I838" s="37"/>
    </row>
    <row r="839">
      <c r="G839" s="37"/>
      <c r="I839" s="37"/>
    </row>
    <row r="840">
      <c r="G840" s="37"/>
      <c r="I840" s="37"/>
    </row>
    <row r="841">
      <c r="G841" s="37"/>
      <c r="I841" s="37"/>
    </row>
    <row r="842">
      <c r="G842" s="37"/>
      <c r="I842" s="37"/>
    </row>
    <row r="843">
      <c r="G843" s="37"/>
      <c r="I843" s="37"/>
    </row>
    <row r="844">
      <c r="G844" s="37"/>
      <c r="I844" s="37"/>
    </row>
    <row r="845">
      <c r="G845" s="37"/>
      <c r="I845" s="37"/>
    </row>
    <row r="846">
      <c r="G846" s="37"/>
      <c r="I846" s="37"/>
    </row>
    <row r="847">
      <c r="G847" s="37"/>
      <c r="I847" s="37"/>
    </row>
    <row r="848">
      <c r="G848" s="37"/>
      <c r="I848" s="37"/>
    </row>
    <row r="849">
      <c r="G849" s="37"/>
      <c r="I849" s="37"/>
    </row>
    <row r="850">
      <c r="G850" s="37"/>
      <c r="I850" s="37"/>
    </row>
    <row r="851">
      <c r="G851" s="37"/>
      <c r="I851" s="37"/>
    </row>
    <row r="852">
      <c r="G852" s="37"/>
      <c r="I852" s="37"/>
    </row>
    <row r="853">
      <c r="G853" s="37"/>
      <c r="I853" s="37"/>
    </row>
    <row r="854">
      <c r="G854" s="37"/>
      <c r="I854" s="37"/>
    </row>
    <row r="855">
      <c r="G855" s="37"/>
      <c r="I855" s="37"/>
    </row>
    <row r="856">
      <c r="G856" s="37"/>
      <c r="I856" s="37"/>
    </row>
    <row r="857">
      <c r="G857" s="37"/>
      <c r="I857" s="37"/>
    </row>
    <row r="858">
      <c r="G858" s="37"/>
      <c r="I858" s="37"/>
    </row>
    <row r="859">
      <c r="G859" s="37"/>
      <c r="I859" s="37"/>
    </row>
    <row r="860">
      <c r="G860" s="37"/>
      <c r="I860" s="37"/>
    </row>
    <row r="861">
      <c r="G861" s="37"/>
      <c r="I861" s="37"/>
    </row>
    <row r="862">
      <c r="G862" s="37"/>
      <c r="I862" s="37"/>
    </row>
    <row r="863">
      <c r="G863" s="37"/>
      <c r="I863" s="37"/>
    </row>
    <row r="864">
      <c r="G864" s="37"/>
      <c r="I864" s="37"/>
    </row>
    <row r="865">
      <c r="G865" s="37"/>
      <c r="I865" s="37"/>
    </row>
    <row r="866">
      <c r="G866" s="37"/>
      <c r="I866" s="37"/>
    </row>
    <row r="867">
      <c r="G867" s="37"/>
      <c r="I867" s="37"/>
    </row>
    <row r="868">
      <c r="G868" s="37"/>
      <c r="I868" s="37"/>
    </row>
    <row r="869">
      <c r="G869" s="37"/>
      <c r="I869" s="37"/>
    </row>
    <row r="870">
      <c r="G870" s="37"/>
      <c r="I870" s="37"/>
    </row>
    <row r="871">
      <c r="G871" s="37"/>
      <c r="I871" s="37"/>
    </row>
    <row r="872">
      <c r="G872" s="37"/>
      <c r="I872" s="37"/>
    </row>
    <row r="873">
      <c r="G873" s="37"/>
      <c r="I873" s="37"/>
    </row>
    <row r="874">
      <c r="G874" s="37"/>
      <c r="I874" s="37"/>
    </row>
    <row r="875">
      <c r="G875" s="37"/>
      <c r="I875" s="37"/>
    </row>
    <row r="876">
      <c r="G876" s="37"/>
      <c r="I876" s="37"/>
    </row>
    <row r="877">
      <c r="G877" s="37"/>
      <c r="I877" s="37"/>
    </row>
    <row r="878">
      <c r="G878" s="37"/>
      <c r="I878" s="37"/>
    </row>
    <row r="879">
      <c r="G879" s="37"/>
      <c r="I879" s="37"/>
    </row>
    <row r="880">
      <c r="G880" s="37"/>
      <c r="I880" s="37"/>
    </row>
    <row r="881">
      <c r="G881" s="37"/>
      <c r="I881" s="37"/>
    </row>
    <row r="882">
      <c r="G882" s="37"/>
      <c r="I882" s="37"/>
    </row>
    <row r="883">
      <c r="G883" s="37"/>
      <c r="I883" s="37"/>
    </row>
    <row r="884">
      <c r="G884" s="37"/>
      <c r="I884" s="37"/>
    </row>
    <row r="885">
      <c r="G885" s="37"/>
      <c r="I885" s="37"/>
    </row>
    <row r="886">
      <c r="G886" s="37"/>
      <c r="I886" s="37"/>
    </row>
    <row r="887">
      <c r="G887" s="37"/>
      <c r="I887" s="37"/>
    </row>
    <row r="888">
      <c r="G888" s="37"/>
      <c r="I888" s="37"/>
    </row>
    <row r="889">
      <c r="G889" s="37"/>
      <c r="I889" s="37"/>
    </row>
    <row r="890">
      <c r="G890" s="37"/>
      <c r="I890" s="37"/>
    </row>
    <row r="891">
      <c r="G891" s="37"/>
      <c r="I891" s="37"/>
    </row>
    <row r="892">
      <c r="G892" s="37"/>
      <c r="I892" s="37"/>
    </row>
    <row r="893">
      <c r="G893" s="37"/>
      <c r="I893" s="37"/>
    </row>
    <row r="894">
      <c r="G894" s="37"/>
      <c r="I894" s="37"/>
    </row>
    <row r="895">
      <c r="G895" s="37"/>
      <c r="I895" s="37"/>
    </row>
    <row r="896">
      <c r="G896" s="37"/>
      <c r="I896" s="37"/>
    </row>
    <row r="897">
      <c r="G897" s="37"/>
      <c r="I897" s="37"/>
    </row>
    <row r="898">
      <c r="G898" s="37"/>
      <c r="I898" s="37"/>
    </row>
    <row r="899">
      <c r="G899" s="37"/>
      <c r="I899" s="37"/>
    </row>
    <row r="900">
      <c r="G900" s="37"/>
      <c r="I900" s="37"/>
    </row>
    <row r="901">
      <c r="G901" s="37"/>
      <c r="I901" s="37"/>
    </row>
    <row r="902">
      <c r="G902" s="37"/>
      <c r="I902" s="37"/>
    </row>
    <row r="903">
      <c r="G903" s="37"/>
      <c r="I903" s="37"/>
    </row>
    <row r="904">
      <c r="G904" s="37"/>
      <c r="I904" s="37"/>
    </row>
    <row r="905">
      <c r="G905" s="37"/>
      <c r="I905" s="37"/>
    </row>
    <row r="906">
      <c r="G906" s="37"/>
      <c r="I906" s="37"/>
    </row>
    <row r="907">
      <c r="G907" s="37"/>
      <c r="I907" s="37"/>
    </row>
    <row r="908">
      <c r="G908" s="37"/>
      <c r="I908" s="37"/>
    </row>
    <row r="909">
      <c r="G909" s="37"/>
      <c r="I909" s="37"/>
    </row>
    <row r="910">
      <c r="G910" s="37"/>
      <c r="I910" s="37"/>
    </row>
    <row r="911">
      <c r="G911" s="37"/>
      <c r="I911" s="37"/>
    </row>
    <row r="912">
      <c r="G912" s="37"/>
      <c r="I912" s="37"/>
    </row>
    <row r="913">
      <c r="G913" s="37"/>
      <c r="I913" s="37"/>
    </row>
    <row r="914">
      <c r="G914" s="37"/>
      <c r="I914" s="37"/>
    </row>
    <row r="915">
      <c r="G915" s="37"/>
      <c r="I915" s="37"/>
    </row>
    <row r="916">
      <c r="G916" s="37"/>
      <c r="I916" s="37"/>
    </row>
    <row r="917">
      <c r="G917" s="37"/>
      <c r="I917" s="37"/>
    </row>
    <row r="918">
      <c r="G918" s="37"/>
      <c r="I918" s="37"/>
    </row>
    <row r="919">
      <c r="G919" s="37"/>
      <c r="I919" s="37"/>
    </row>
    <row r="920">
      <c r="G920" s="37"/>
      <c r="I920" s="37"/>
    </row>
    <row r="921">
      <c r="G921" s="37"/>
      <c r="I921" s="37"/>
    </row>
    <row r="922">
      <c r="G922" s="37"/>
      <c r="I922" s="37"/>
    </row>
    <row r="923">
      <c r="G923" s="37"/>
      <c r="I923" s="37"/>
    </row>
    <row r="924">
      <c r="G924" s="37"/>
      <c r="I924" s="37"/>
    </row>
    <row r="925">
      <c r="G925" s="37"/>
      <c r="I925" s="37"/>
    </row>
    <row r="926">
      <c r="G926" s="37"/>
      <c r="I926" s="37"/>
    </row>
    <row r="927">
      <c r="G927" s="37"/>
      <c r="I927" s="37"/>
    </row>
    <row r="928">
      <c r="G928" s="37"/>
      <c r="I928" s="37"/>
    </row>
    <row r="929">
      <c r="G929" s="37"/>
      <c r="I929" s="37"/>
    </row>
    <row r="930">
      <c r="G930" s="37"/>
      <c r="I930" s="37"/>
    </row>
    <row r="931">
      <c r="G931" s="37"/>
      <c r="I931" s="37"/>
    </row>
    <row r="932">
      <c r="G932" s="37"/>
      <c r="I932" s="37"/>
    </row>
    <row r="933">
      <c r="G933" s="37"/>
      <c r="I933" s="37"/>
    </row>
    <row r="934">
      <c r="G934" s="37"/>
      <c r="I934" s="37"/>
    </row>
    <row r="935">
      <c r="G935" s="37"/>
      <c r="I935" s="37"/>
    </row>
    <row r="936">
      <c r="G936" s="37"/>
      <c r="I936" s="37"/>
    </row>
    <row r="937">
      <c r="G937" s="37"/>
      <c r="I937" s="37"/>
    </row>
    <row r="938">
      <c r="G938" s="37"/>
      <c r="I938" s="37"/>
    </row>
    <row r="939">
      <c r="G939" s="37"/>
      <c r="I939" s="37"/>
    </row>
    <row r="940">
      <c r="G940" s="37"/>
      <c r="I940" s="37"/>
    </row>
    <row r="941">
      <c r="G941" s="37"/>
      <c r="I941" s="37"/>
    </row>
    <row r="942">
      <c r="G942" s="37"/>
      <c r="I942" s="37"/>
    </row>
    <row r="943">
      <c r="G943" s="37"/>
      <c r="I943" s="37"/>
    </row>
    <row r="944">
      <c r="G944" s="37"/>
      <c r="I944" s="37"/>
    </row>
    <row r="945">
      <c r="G945" s="37"/>
      <c r="I945" s="37"/>
    </row>
    <row r="946">
      <c r="G946" s="37"/>
      <c r="I946" s="37"/>
    </row>
    <row r="947">
      <c r="G947" s="37"/>
      <c r="I947" s="37"/>
    </row>
    <row r="948">
      <c r="G948" s="37"/>
      <c r="I948" s="37"/>
    </row>
    <row r="949">
      <c r="G949" s="37"/>
      <c r="I949" s="37"/>
    </row>
    <row r="950">
      <c r="G950" s="37"/>
      <c r="I950" s="37"/>
    </row>
    <row r="951">
      <c r="G951" s="37"/>
      <c r="I951" s="37"/>
    </row>
    <row r="952">
      <c r="G952" s="37"/>
      <c r="I952" s="37"/>
    </row>
    <row r="953">
      <c r="G953" s="37"/>
      <c r="I953" s="37"/>
    </row>
    <row r="954">
      <c r="G954" s="37"/>
      <c r="I954" s="37"/>
    </row>
    <row r="955">
      <c r="G955" s="37"/>
      <c r="I955" s="37"/>
    </row>
    <row r="956">
      <c r="G956" s="37"/>
      <c r="I956" s="37"/>
    </row>
    <row r="957">
      <c r="G957" s="37"/>
      <c r="I957" s="37"/>
    </row>
    <row r="958">
      <c r="G958" s="37"/>
      <c r="I958" s="37"/>
    </row>
    <row r="959">
      <c r="G959" s="37"/>
      <c r="I959" s="37"/>
    </row>
    <row r="960">
      <c r="G960" s="37"/>
      <c r="I960" s="37"/>
    </row>
    <row r="961">
      <c r="G961" s="37"/>
      <c r="I961" s="37"/>
    </row>
    <row r="962">
      <c r="G962" s="37"/>
      <c r="I962" s="37"/>
    </row>
    <row r="963">
      <c r="G963" s="37"/>
      <c r="I963" s="37"/>
    </row>
    <row r="964">
      <c r="G964" s="37"/>
      <c r="I964" s="37"/>
    </row>
    <row r="965">
      <c r="G965" s="37"/>
      <c r="I965" s="37"/>
    </row>
    <row r="966">
      <c r="G966" s="37"/>
      <c r="I966" s="37"/>
    </row>
    <row r="967">
      <c r="G967" s="37"/>
      <c r="I967" s="37"/>
    </row>
    <row r="968">
      <c r="G968" s="37"/>
      <c r="I968" s="37"/>
    </row>
    <row r="969">
      <c r="G969" s="37"/>
      <c r="I969" s="37"/>
    </row>
    <row r="970">
      <c r="G970" s="37"/>
      <c r="I970" s="37"/>
    </row>
    <row r="971">
      <c r="G971" s="37"/>
      <c r="I971" s="37"/>
    </row>
    <row r="972">
      <c r="G972" s="37"/>
      <c r="I972" s="37"/>
    </row>
    <row r="973">
      <c r="G973" s="37"/>
      <c r="I973" s="37"/>
    </row>
    <row r="974">
      <c r="G974" s="37"/>
      <c r="I974" s="37"/>
    </row>
    <row r="975">
      <c r="G975" s="37"/>
      <c r="I975" s="37"/>
    </row>
    <row r="976">
      <c r="G976" s="37"/>
      <c r="I976" s="37"/>
    </row>
    <row r="977">
      <c r="G977" s="37"/>
      <c r="I977" s="37"/>
    </row>
    <row r="978">
      <c r="G978" s="37"/>
      <c r="I978" s="37"/>
    </row>
    <row r="979">
      <c r="G979" s="37"/>
      <c r="I979" s="37"/>
    </row>
    <row r="980">
      <c r="G980" s="37"/>
      <c r="I980" s="37"/>
    </row>
    <row r="981">
      <c r="G981" s="37"/>
      <c r="I981" s="37"/>
    </row>
    <row r="982">
      <c r="G982" s="37"/>
      <c r="I982" s="37"/>
    </row>
    <row r="983">
      <c r="G983" s="37"/>
      <c r="I983" s="37"/>
    </row>
    <row r="984">
      <c r="G984" s="37"/>
      <c r="I984" s="37"/>
    </row>
    <row r="985">
      <c r="G985" s="37"/>
      <c r="I985" s="37"/>
    </row>
    <row r="986">
      <c r="G986" s="37"/>
      <c r="I986" s="37"/>
    </row>
    <row r="987">
      <c r="G987" s="37"/>
      <c r="I987" s="37"/>
    </row>
    <row r="988">
      <c r="G988" s="37"/>
      <c r="I988" s="37"/>
    </row>
    <row r="989">
      <c r="G989" s="37"/>
      <c r="I989" s="37"/>
    </row>
    <row r="990">
      <c r="G990" s="37"/>
      <c r="I990" s="37"/>
    </row>
    <row r="991">
      <c r="G991" s="37"/>
      <c r="I991" s="37"/>
    </row>
    <row r="992">
      <c r="G992" s="37"/>
      <c r="I992" s="37"/>
    </row>
    <row r="993">
      <c r="G993" s="37"/>
      <c r="I993" s="37"/>
    </row>
    <row r="994">
      <c r="G994" s="37"/>
      <c r="I994" s="37"/>
    </row>
    <row r="995">
      <c r="G995" s="37"/>
      <c r="I995" s="37"/>
    </row>
    <row r="996">
      <c r="G996" s="37"/>
      <c r="I996" s="37"/>
    </row>
    <row r="997">
      <c r="G997" s="37"/>
      <c r="I997" s="37"/>
    </row>
    <row r="998">
      <c r="G998" s="37"/>
      <c r="I998" s="37"/>
    </row>
  </sheetData>
  <mergeCells count="1">
    <mergeCell ref="B21:B24"/>
  </mergeCells>
  <dataValidations>
    <dataValidation type="list" allowBlank="1" showErrorMessage="1" sqref="C6:C19">
      <formula1>Tcentrocustos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75"/>
    <col customWidth="1" min="2" max="2" width="25.5"/>
    <col customWidth="1" min="3" max="3" width="21.38"/>
    <col customWidth="1" min="4" max="5" width="19.5"/>
    <col customWidth="1" min="6" max="6" width="20.38"/>
    <col customWidth="1" min="7" max="7" width="15.13"/>
    <col customWidth="1" min="8" max="8" width="16.0"/>
    <col customWidth="1" min="9" max="9" width="18.63"/>
    <col customWidth="1" min="10" max="10" width="19.25"/>
    <col customWidth="1" min="11" max="11" width="18.5"/>
    <col customWidth="1" min="12" max="12" width="16.63"/>
  </cols>
  <sheetData>
    <row r="1">
      <c r="F1" s="39"/>
      <c r="G1" s="40"/>
    </row>
    <row r="2" ht="22.5" customHeight="1">
      <c r="B2" s="41" t="s">
        <v>119</v>
      </c>
      <c r="C2" s="41" t="s">
        <v>127</v>
      </c>
      <c r="D2" s="43" t="s">
        <v>129</v>
      </c>
      <c r="E2" s="44" t="s">
        <v>131</v>
      </c>
      <c r="F2" s="43" t="s">
        <v>133</v>
      </c>
      <c r="G2" s="45" t="s">
        <v>135</v>
      </c>
      <c r="H2" s="41" t="s">
        <v>137</v>
      </c>
      <c r="I2" s="46" t="s">
        <v>138</v>
      </c>
      <c r="J2" s="41" t="s">
        <v>140</v>
      </c>
      <c r="K2" s="41" t="s">
        <v>141</v>
      </c>
      <c r="L2" s="41" t="s">
        <v>8</v>
      </c>
    </row>
    <row r="3" ht="22.5" customHeight="1">
      <c r="B3" s="47" t="s">
        <v>144</v>
      </c>
      <c r="C3" s="48" t="s">
        <v>13</v>
      </c>
      <c r="D3" s="48" t="s">
        <v>28</v>
      </c>
      <c r="E3" s="49">
        <v>45973.0</v>
      </c>
      <c r="F3" s="49">
        <v>45973.0</v>
      </c>
      <c r="G3" s="48" t="s">
        <v>145</v>
      </c>
      <c r="H3" s="48" t="s">
        <v>67</v>
      </c>
      <c r="I3" s="50">
        <v>500.0</v>
      </c>
      <c r="J3" s="51" t="s">
        <v>28</v>
      </c>
      <c r="K3" s="52" t="s">
        <v>20</v>
      </c>
      <c r="L3" s="53" t="s">
        <v>57</v>
      </c>
    </row>
    <row r="4" ht="22.5" customHeight="1">
      <c r="B4" s="54" t="s">
        <v>144</v>
      </c>
      <c r="C4" s="48" t="s">
        <v>13</v>
      </c>
      <c r="D4" s="48" t="s">
        <v>28</v>
      </c>
      <c r="E4" s="49">
        <v>45974.0</v>
      </c>
      <c r="F4" s="49">
        <v>45974.0</v>
      </c>
      <c r="G4" s="48" t="s">
        <v>145</v>
      </c>
      <c r="H4" s="48" t="s">
        <v>81</v>
      </c>
      <c r="I4" s="50">
        <v>350.0</v>
      </c>
      <c r="J4" s="48" t="s">
        <v>63</v>
      </c>
      <c r="K4" s="52" t="s">
        <v>73</v>
      </c>
      <c r="L4" s="53" t="s">
        <v>77</v>
      </c>
    </row>
    <row r="5" ht="22.5" customHeight="1">
      <c r="B5" s="56" t="s">
        <v>150</v>
      </c>
      <c r="C5" s="48" t="s">
        <v>13</v>
      </c>
      <c r="D5" s="48" t="s">
        <v>28</v>
      </c>
      <c r="E5" s="49">
        <v>45975.0</v>
      </c>
      <c r="F5" s="49">
        <v>45975.0</v>
      </c>
      <c r="G5" s="57" t="s">
        <v>149</v>
      </c>
      <c r="H5" s="57" t="s">
        <v>89</v>
      </c>
      <c r="I5" s="58">
        <v>500.0</v>
      </c>
      <c r="J5" s="57" t="s">
        <v>93</v>
      </c>
      <c r="K5" s="52" t="s">
        <v>20</v>
      </c>
      <c r="L5" s="53" t="s">
        <v>57</v>
      </c>
    </row>
    <row r="6" ht="22.5" customHeight="1">
      <c r="B6" s="56" t="s">
        <v>151</v>
      </c>
      <c r="C6" s="48" t="s">
        <v>13</v>
      </c>
      <c r="D6" s="48" t="s">
        <v>28</v>
      </c>
      <c r="E6" s="49">
        <v>45976.0</v>
      </c>
      <c r="F6" s="49">
        <v>45976.0</v>
      </c>
      <c r="G6" s="57" t="s">
        <v>145</v>
      </c>
      <c r="H6" s="57" t="s">
        <v>99</v>
      </c>
      <c r="I6" s="58">
        <v>3500.0</v>
      </c>
      <c r="J6" s="57" t="s">
        <v>100</v>
      </c>
      <c r="K6" s="52" t="s">
        <v>73</v>
      </c>
      <c r="L6" s="53" t="s">
        <v>77</v>
      </c>
    </row>
    <row r="7" ht="22.5" customHeight="1">
      <c r="B7" s="56" t="s">
        <v>153</v>
      </c>
      <c r="C7" s="48" t="s">
        <v>13</v>
      </c>
      <c r="D7" s="48" t="s">
        <v>28</v>
      </c>
      <c r="E7" s="49">
        <v>45977.0</v>
      </c>
      <c r="F7" s="49">
        <v>45977.0</v>
      </c>
      <c r="G7" s="57" t="s">
        <v>145</v>
      </c>
      <c r="H7" s="48" t="s">
        <v>67</v>
      </c>
      <c r="I7" s="58">
        <v>2500.0</v>
      </c>
      <c r="J7" s="51" t="s">
        <v>28</v>
      </c>
      <c r="K7" s="52" t="s">
        <v>20</v>
      </c>
      <c r="L7" s="53" t="s">
        <v>57</v>
      </c>
    </row>
    <row r="8" ht="22.5" customHeight="1">
      <c r="B8" s="56" t="s">
        <v>144</v>
      </c>
      <c r="C8" s="48" t="s">
        <v>13</v>
      </c>
      <c r="D8" s="48" t="s">
        <v>28</v>
      </c>
      <c r="E8" s="49">
        <v>45978.0</v>
      </c>
      <c r="F8" s="49">
        <v>45978.0</v>
      </c>
      <c r="G8" s="57" t="s">
        <v>145</v>
      </c>
      <c r="H8" s="48" t="s">
        <v>81</v>
      </c>
      <c r="I8" s="58">
        <v>350.0</v>
      </c>
      <c r="J8" s="48" t="s">
        <v>63</v>
      </c>
      <c r="K8" s="52" t="s">
        <v>73</v>
      </c>
      <c r="L8" s="53" t="s">
        <v>77</v>
      </c>
    </row>
    <row r="9" ht="22.5" customHeight="1">
      <c r="B9" s="56" t="s">
        <v>150</v>
      </c>
      <c r="C9" s="48" t="s">
        <v>13</v>
      </c>
      <c r="D9" s="48" t="s">
        <v>28</v>
      </c>
      <c r="E9" s="49">
        <v>45979.0</v>
      </c>
      <c r="F9" s="49">
        <v>45979.0</v>
      </c>
      <c r="G9" s="57" t="s">
        <v>149</v>
      </c>
      <c r="H9" s="57" t="s">
        <v>89</v>
      </c>
      <c r="I9" s="58">
        <v>800.0</v>
      </c>
      <c r="J9" s="57" t="s">
        <v>93</v>
      </c>
      <c r="K9" s="52" t="s">
        <v>20</v>
      </c>
      <c r="L9" s="53" t="s">
        <v>57</v>
      </c>
    </row>
    <row r="10" ht="22.5" customHeight="1">
      <c r="B10" s="56" t="s">
        <v>151</v>
      </c>
      <c r="C10" s="48" t="s">
        <v>13</v>
      </c>
      <c r="D10" s="48" t="s">
        <v>28</v>
      </c>
      <c r="E10" s="49">
        <v>45980.0</v>
      </c>
      <c r="F10" s="49">
        <v>45980.0</v>
      </c>
      <c r="G10" s="57" t="s">
        <v>145</v>
      </c>
      <c r="H10" s="57" t="s">
        <v>99</v>
      </c>
      <c r="I10" s="58">
        <v>1200.0</v>
      </c>
      <c r="J10" s="57" t="s">
        <v>100</v>
      </c>
      <c r="K10" s="52" t="s">
        <v>73</v>
      </c>
      <c r="L10" s="53" t="s">
        <v>77</v>
      </c>
    </row>
    <row r="11" ht="22.5" customHeight="1">
      <c r="B11" s="56" t="s">
        <v>153</v>
      </c>
      <c r="C11" s="48" t="s">
        <v>13</v>
      </c>
      <c r="D11" s="48" t="s">
        <v>28</v>
      </c>
      <c r="E11" s="49">
        <v>45981.0</v>
      </c>
      <c r="F11" s="49">
        <v>45981.0</v>
      </c>
      <c r="G11" s="57" t="s">
        <v>145</v>
      </c>
      <c r="H11" s="48" t="s">
        <v>67</v>
      </c>
      <c r="I11" s="58">
        <v>500.0</v>
      </c>
      <c r="J11" s="51" t="s">
        <v>28</v>
      </c>
      <c r="K11" s="52" t="s">
        <v>20</v>
      </c>
      <c r="L11" s="53" t="s">
        <v>57</v>
      </c>
    </row>
    <row r="12" ht="22.5" customHeight="1">
      <c r="B12" s="56" t="s">
        <v>144</v>
      </c>
      <c r="C12" s="48" t="s">
        <v>13</v>
      </c>
      <c r="D12" s="48" t="s">
        <v>28</v>
      </c>
      <c r="E12" s="49">
        <v>45982.0</v>
      </c>
      <c r="F12" s="49">
        <v>45982.0</v>
      </c>
      <c r="G12" s="57" t="s">
        <v>145</v>
      </c>
      <c r="H12" s="48" t="s">
        <v>81</v>
      </c>
      <c r="I12" s="58">
        <v>350.0</v>
      </c>
      <c r="J12" s="48" t="s">
        <v>63</v>
      </c>
      <c r="K12" s="52" t="s">
        <v>73</v>
      </c>
      <c r="L12" s="53" t="s">
        <v>77</v>
      </c>
    </row>
    <row r="13" ht="22.5" customHeight="1">
      <c r="B13" s="56" t="s">
        <v>150</v>
      </c>
      <c r="C13" s="48" t="s">
        <v>13</v>
      </c>
      <c r="D13" s="48" t="s">
        <v>28</v>
      </c>
      <c r="E13" s="49">
        <v>45983.0</v>
      </c>
      <c r="F13" s="49">
        <v>45983.0</v>
      </c>
      <c r="G13" s="57" t="s">
        <v>149</v>
      </c>
      <c r="H13" s="57" t="s">
        <v>89</v>
      </c>
      <c r="I13" s="58">
        <v>800.0</v>
      </c>
      <c r="J13" s="57" t="s">
        <v>93</v>
      </c>
      <c r="K13" s="52" t="s">
        <v>20</v>
      </c>
      <c r="L13" s="53" t="s">
        <v>57</v>
      </c>
    </row>
    <row r="14" ht="22.5" customHeight="1">
      <c r="B14" s="56" t="s">
        <v>151</v>
      </c>
      <c r="C14" s="48" t="s">
        <v>13</v>
      </c>
      <c r="D14" s="48" t="s">
        <v>28</v>
      </c>
      <c r="E14" s="49">
        <v>45984.0</v>
      </c>
      <c r="F14" s="49">
        <v>45984.0</v>
      </c>
      <c r="G14" s="57" t="s">
        <v>145</v>
      </c>
      <c r="H14" s="57" t="s">
        <v>99</v>
      </c>
      <c r="I14" s="58">
        <v>1200.0</v>
      </c>
      <c r="J14" s="57" t="s">
        <v>100</v>
      </c>
      <c r="K14" s="52" t="s">
        <v>73</v>
      </c>
      <c r="L14" s="53" t="s">
        <v>77</v>
      </c>
    </row>
    <row r="15" ht="22.5" customHeight="1">
      <c r="B15" s="56" t="s">
        <v>153</v>
      </c>
      <c r="C15" s="48" t="s">
        <v>13</v>
      </c>
      <c r="D15" s="48" t="s">
        <v>28</v>
      </c>
      <c r="E15" s="49">
        <v>45985.0</v>
      </c>
      <c r="F15" s="49">
        <v>45985.0</v>
      </c>
      <c r="G15" s="57" t="s">
        <v>145</v>
      </c>
      <c r="H15" s="48" t="s">
        <v>67</v>
      </c>
      <c r="I15" s="58">
        <v>5000.0</v>
      </c>
      <c r="J15" s="51" t="s">
        <v>28</v>
      </c>
      <c r="K15" s="52" t="s">
        <v>20</v>
      </c>
      <c r="L15" s="53" t="s">
        <v>57</v>
      </c>
    </row>
    <row r="16" ht="22.5" customHeight="1">
      <c r="B16" s="56" t="s">
        <v>158</v>
      </c>
      <c r="C16" s="48" t="s">
        <v>17</v>
      </c>
      <c r="D16" s="48" t="s">
        <v>44</v>
      </c>
      <c r="E16" s="49">
        <v>45986.0</v>
      </c>
      <c r="F16" s="49">
        <v>45986.0</v>
      </c>
      <c r="G16" s="57" t="s">
        <v>149</v>
      </c>
      <c r="H16" s="48" t="s">
        <v>81</v>
      </c>
      <c r="I16" s="58">
        <v>5000.0</v>
      </c>
      <c r="J16" s="48" t="s">
        <v>63</v>
      </c>
      <c r="K16" s="52" t="s">
        <v>73</v>
      </c>
      <c r="L16" s="53" t="s">
        <v>77</v>
      </c>
    </row>
    <row r="17" ht="22.5" customHeight="1">
      <c r="B17" s="56" t="s">
        <v>164</v>
      </c>
      <c r="C17" s="48" t="s">
        <v>17</v>
      </c>
      <c r="D17" s="48" t="s">
        <v>44</v>
      </c>
      <c r="E17" s="49">
        <v>45987.0</v>
      </c>
      <c r="F17" s="49">
        <v>45987.0</v>
      </c>
      <c r="G17" s="57" t="s">
        <v>149</v>
      </c>
      <c r="H17" s="57" t="s">
        <v>89</v>
      </c>
      <c r="I17" s="58">
        <v>5000.0</v>
      </c>
      <c r="J17" s="57" t="s">
        <v>93</v>
      </c>
      <c r="K17" s="52" t="s">
        <v>20</v>
      </c>
      <c r="L17" s="53" t="s">
        <v>57</v>
      </c>
    </row>
    <row r="18" ht="22.5" customHeight="1">
      <c r="B18" s="56" t="s">
        <v>165</v>
      </c>
      <c r="C18" s="48" t="s">
        <v>17</v>
      </c>
      <c r="D18" s="48" t="s">
        <v>44</v>
      </c>
      <c r="E18" s="49">
        <v>45988.0</v>
      </c>
      <c r="F18" s="49">
        <v>45988.0</v>
      </c>
      <c r="G18" s="57" t="s">
        <v>145</v>
      </c>
      <c r="H18" s="57" t="s">
        <v>99</v>
      </c>
      <c r="I18" s="58">
        <v>500.0</v>
      </c>
      <c r="J18" s="57" t="s">
        <v>100</v>
      </c>
      <c r="K18" s="52" t="s">
        <v>73</v>
      </c>
      <c r="L18" s="53" t="s">
        <v>77</v>
      </c>
    </row>
    <row r="19" ht="22.5" customHeight="1">
      <c r="B19" s="56" t="s">
        <v>144</v>
      </c>
      <c r="C19" s="48" t="s">
        <v>13</v>
      </c>
      <c r="D19" s="48" t="s">
        <v>28</v>
      </c>
      <c r="E19" s="49">
        <v>45989.0</v>
      </c>
      <c r="F19" s="49">
        <v>45989.0</v>
      </c>
      <c r="G19" s="57" t="s">
        <v>145</v>
      </c>
      <c r="H19" s="48" t="s">
        <v>67</v>
      </c>
      <c r="I19" s="58">
        <v>350.0</v>
      </c>
      <c r="J19" s="51" t="s">
        <v>28</v>
      </c>
      <c r="K19" s="52" t="s">
        <v>20</v>
      </c>
      <c r="L19" s="53" t="s">
        <v>57</v>
      </c>
    </row>
    <row r="20" ht="22.5" customHeight="1">
      <c r="B20" s="56" t="s">
        <v>150</v>
      </c>
      <c r="C20" s="48" t="s">
        <v>13</v>
      </c>
      <c r="D20" s="48" t="s">
        <v>28</v>
      </c>
      <c r="E20" s="49">
        <v>45990.0</v>
      </c>
      <c r="F20" s="49">
        <v>45990.0</v>
      </c>
      <c r="G20" s="57" t="s">
        <v>149</v>
      </c>
      <c r="H20" s="48" t="s">
        <v>81</v>
      </c>
      <c r="I20" s="58">
        <v>800.0</v>
      </c>
      <c r="J20" s="48" t="s">
        <v>63</v>
      </c>
      <c r="K20" s="52" t="s">
        <v>73</v>
      </c>
      <c r="L20" s="53" t="s">
        <v>77</v>
      </c>
    </row>
    <row r="21" ht="22.5" customHeight="1">
      <c r="B21" s="56" t="s">
        <v>151</v>
      </c>
      <c r="C21" s="48" t="s">
        <v>13</v>
      </c>
      <c r="D21" s="48" t="s">
        <v>28</v>
      </c>
      <c r="E21" s="49">
        <v>45991.0</v>
      </c>
      <c r="F21" s="49">
        <v>45991.0</v>
      </c>
      <c r="G21" s="57" t="s">
        <v>145</v>
      </c>
      <c r="H21" s="57" t="s">
        <v>89</v>
      </c>
      <c r="I21" s="58">
        <v>1200.0</v>
      </c>
      <c r="J21" s="57" t="s">
        <v>93</v>
      </c>
      <c r="K21" s="52" t="s">
        <v>20</v>
      </c>
      <c r="L21" s="53" t="s">
        <v>57</v>
      </c>
    </row>
    <row r="22" ht="22.5" customHeight="1">
      <c r="B22" s="56" t="s">
        <v>153</v>
      </c>
      <c r="C22" s="48" t="s">
        <v>13</v>
      </c>
      <c r="D22" s="48" t="s">
        <v>28</v>
      </c>
      <c r="E22" s="49">
        <v>45992.0</v>
      </c>
      <c r="F22" s="49">
        <v>45992.0</v>
      </c>
      <c r="G22" s="57" t="s">
        <v>145</v>
      </c>
      <c r="H22" s="57" t="s">
        <v>99</v>
      </c>
      <c r="I22" s="58">
        <v>500.0</v>
      </c>
      <c r="J22" s="57" t="s">
        <v>100</v>
      </c>
      <c r="K22" s="52" t="s">
        <v>73</v>
      </c>
      <c r="L22" s="53" t="s">
        <v>77</v>
      </c>
    </row>
    <row r="23" ht="22.5" customHeight="1">
      <c r="B23" s="56" t="s">
        <v>144</v>
      </c>
      <c r="C23" s="48" t="s">
        <v>13</v>
      </c>
      <c r="D23" s="48" t="s">
        <v>28</v>
      </c>
      <c r="E23" s="49">
        <v>45993.0</v>
      </c>
      <c r="F23" s="49">
        <v>45993.0</v>
      </c>
      <c r="G23" s="57" t="s">
        <v>145</v>
      </c>
      <c r="H23" s="48" t="s">
        <v>67</v>
      </c>
      <c r="I23" s="58">
        <v>350.0</v>
      </c>
      <c r="J23" s="51" t="s">
        <v>28</v>
      </c>
      <c r="K23" s="52" t="s">
        <v>20</v>
      </c>
      <c r="L23" s="53" t="s">
        <v>57</v>
      </c>
    </row>
    <row r="24" ht="22.5" customHeight="1">
      <c r="B24" s="56" t="s">
        <v>180</v>
      </c>
      <c r="C24" s="48" t="s">
        <v>13</v>
      </c>
      <c r="D24" s="48" t="s">
        <v>28</v>
      </c>
      <c r="E24" s="49">
        <v>45994.0</v>
      </c>
      <c r="F24" s="49">
        <v>45994.0</v>
      </c>
      <c r="G24" s="57" t="s">
        <v>145</v>
      </c>
      <c r="H24" s="48" t="s">
        <v>81</v>
      </c>
      <c r="I24" s="58">
        <v>800.0</v>
      </c>
      <c r="J24" s="48" t="s">
        <v>63</v>
      </c>
      <c r="K24" s="52" t="s">
        <v>73</v>
      </c>
      <c r="L24" s="53" t="s">
        <v>77</v>
      </c>
    </row>
    <row r="25" ht="22.5" customHeight="1">
      <c r="B25" s="56" t="s">
        <v>181</v>
      </c>
      <c r="C25" s="48" t="s">
        <v>13</v>
      </c>
      <c r="D25" s="48" t="s">
        <v>28</v>
      </c>
      <c r="E25" s="49">
        <v>45995.0</v>
      </c>
      <c r="F25" s="49">
        <v>45995.0</v>
      </c>
      <c r="G25" s="57" t="s">
        <v>149</v>
      </c>
      <c r="H25" s="57" t="s">
        <v>89</v>
      </c>
      <c r="I25" s="58">
        <v>1200.0</v>
      </c>
      <c r="J25" s="57" t="s">
        <v>93</v>
      </c>
      <c r="K25" s="52" t="s">
        <v>20</v>
      </c>
      <c r="L25" s="53" t="s">
        <v>57</v>
      </c>
    </row>
    <row r="26" ht="22.5" customHeight="1">
      <c r="B26" s="56" t="s">
        <v>182</v>
      </c>
      <c r="C26" s="48" t="s">
        <v>13</v>
      </c>
      <c r="D26" s="48" t="s">
        <v>28</v>
      </c>
      <c r="E26" s="49">
        <v>45996.0</v>
      </c>
      <c r="F26" s="49">
        <v>45996.0</v>
      </c>
      <c r="G26" s="57" t="s">
        <v>149</v>
      </c>
      <c r="H26" s="57" t="s">
        <v>99</v>
      </c>
      <c r="I26" s="58">
        <v>2500.0</v>
      </c>
      <c r="J26" s="57" t="s">
        <v>100</v>
      </c>
      <c r="K26" s="52" t="s">
        <v>73</v>
      </c>
      <c r="L26" s="53" t="s">
        <v>77</v>
      </c>
    </row>
  </sheetData>
  <customSheetViews>
    <customSheetView guid="{CF18F993-05F1-4AF9-9639-BEA76575F38E}" filter="1" showAutoFilter="1">
      <autoFilter ref="$B$2:$L$26"/>
    </customSheetView>
    <customSheetView guid="{F64FA981-E931-4385-A599-C21AC2F5CF54}" filter="1" showAutoFilter="1">
      <autoFilter ref="$B$2:$L$26">
        <filterColumn colId="5">
          <filters>
            <filter val="Previsto"/>
          </filters>
        </filterColumn>
      </autoFilter>
    </customSheetView>
    <customSheetView guid="{CF18F993-05F1-4AF9-9639-BEA76575F38E}" filter="1" showAutoFilter="1">
      <autoFilter ref="$B$2:$L$1000"/>
    </customSheetView>
  </customSheetViews>
  <dataValidations>
    <dataValidation type="list" allowBlank="1" showErrorMessage="1" sqref="H3:H26">
      <formula1>Clientes</formula1>
    </dataValidation>
    <dataValidation type="custom" allowBlank="1" showDropDown="1" sqref="E3:F26">
      <formula1>OR(NOT(ISERROR(DATEVALUE(E3))), AND(ISNUMBER(E3), LEFT(CELL("format", E3))="D"))</formula1>
    </dataValidation>
    <dataValidation type="list" allowBlank="1" sqref="D3:D26">
      <formula1>Plano_receitas</formula1>
    </dataValidation>
    <dataValidation type="list" allowBlank="1" showErrorMessage="1" sqref="G3:G26">
      <formula1>"Previsto,Realizado"</formula1>
    </dataValidation>
    <dataValidation type="list" allowBlank="1" showErrorMessage="1" sqref="L3:L26">
      <formula1>CentroCustos</formula1>
    </dataValidation>
    <dataValidation type="list" allowBlank="1" sqref="C3:C26">
      <formula1>CatReceitas</formula1>
    </dataValidation>
    <dataValidation type="custom" allowBlank="1" showDropDown="1" sqref="I3:I26">
      <formula1>AND(ISNUMBER(I3),(NOT(OR(NOT(ISERROR(DATEVALUE(I3))), AND(ISNUMBER(I3), LEFT(CELL("format", I3))="D")))))</formula1>
    </dataValidation>
    <dataValidation type="list" allowBlank="1" showErrorMessage="1" sqref="J3:J26">
      <formula1>formaspgto</formula1>
    </dataValidation>
    <dataValidation type="list" allowBlank="1" showErrorMessage="1" sqref="K3:K26">
      <formula1>bancos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75"/>
    <col customWidth="1" min="2" max="2" width="25.5"/>
    <col customWidth="1" min="3" max="3" width="21.38"/>
    <col customWidth="1" min="4" max="5" width="21.75"/>
    <col customWidth="1" min="6" max="6" width="20.38"/>
    <col customWidth="1" min="7" max="7" width="16.88"/>
    <col customWidth="1" min="8" max="8" width="18.38"/>
    <col customWidth="1" min="9" max="9" width="18.63"/>
    <col customWidth="1" min="10" max="10" width="19.25"/>
    <col customWidth="1" min="11" max="11" width="18.5"/>
    <col customWidth="1" min="12" max="12" width="16.63"/>
  </cols>
  <sheetData>
    <row r="2" ht="22.5" customHeight="1">
      <c r="B2" s="41" t="s">
        <v>119</v>
      </c>
      <c r="C2" s="41" t="s">
        <v>127</v>
      </c>
      <c r="D2" s="43" t="s">
        <v>129</v>
      </c>
      <c r="E2" s="44" t="s">
        <v>131</v>
      </c>
      <c r="F2" s="43" t="s">
        <v>146</v>
      </c>
      <c r="G2" s="45" t="s">
        <v>135</v>
      </c>
      <c r="H2" s="41" t="s">
        <v>147</v>
      </c>
      <c r="I2" s="46" t="s">
        <v>138</v>
      </c>
      <c r="J2" s="41" t="s">
        <v>140</v>
      </c>
      <c r="K2" s="41" t="s">
        <v>141</v>
      </c>
      <c r="L2" s="41" t="s">
        <v>8</v>
      </c>
    </row>
    <row r="3" ht="22.5" customHeight="1">
      <c r="B3" s="54" t="s">
        <v>148</v>
      </c>
      <c r="C3" s="48" t="s">
        <v>19</v>
      </c>
      <c r="D3" s="48" t="s">
        <v>35</v>
      </c>
      <c r="E3" s="55">
        <v>45973.0</v>
      </c>
      <c r="F3" s="55">
        <v>45973.0</v>
      </c>
      <c r="G3" s="48" t="s">
        <v>149</v>
      </c>
      <c r="H3" s="48" t="s">
        <v>69</v>
      </c>
      <c r="I3" s="50">
        <v>123.0</v>
      </c>
      <c r="J3" s="48" t="s">
        <v>28</v>
      </c>
      <c r="K3" s="52" t="s">
        <v>20</v>
      </c>
      <c r="L3" s="53" t="s">
        <v>57</v>
      </c>
    </row>
    <row r="4" ht="22.5" customHeight="1">
      <c r="B4" s="54" t="s">
        <v>114</v>
      </c>
      <c r="C4" s="48" t="s">
        <v>19</v>
      </c>
      <c r="D4" s="48" t="s">
        <v>114</v>
      </c>
      <c r="E4" s="55">
        <v>45974.0</v>
      </c>
      <c r="F4" s="55">
        <v>45974.0</v>
      </c>
      <c r="G4" s="48" t="s">
        <v>145</v>
      </c>
      <c r="H4" s="48" t="s">
        <v>82</v>
      </c>
      <c r="I4" s="50">
        <v>250.0</v>
      </c>
      <c r="J4" s="48" t="s">
        <v>63</v>
      </c>
      <c r="K4" s="52" t="s">
        <v>73</v>
      </c>
      <c r="L4" s="53" t="s">
        <v>77</v>
      </c>
    </row>
    <row r="5" ht="22.5" customHeight="1">
      <c r="B5" s="56" t="s">
        <v>152</v>
      </c>
      <c r="C5" s="48" t="s">
        <v>22</v>
      </c>
      <c r="D5" s="48" t="s">
        <v>37</v>
      </c>
      <c r="E5" s="55">
        <v>45975.0</v>
      </c>
      <c r="F5" s="55">
        <v>45975.0</v>
      </c>
      <c r="G5" s="57" t="s">
        <v>149</v>
      </c>
      <c r="H5" s="57" t="s">
        <v>91</v>
      </c>
      <c r="I5" s="58">
        <v>1320.0</v>
      </c>
      <c r="J5" s="57" t="s">
        <v>93</v>
      </c>
      <c r="K5" s="52" t="s">
        <v>20</v>
      </c>
      <c r="L5" s="53" t="s">
        <v>57</v>
      </c>
    </row>
    <row r="6" ht="22.5" customHeight="1">
      <c r="B6" s="56" t="s">
        <v>154</v>
      </c>
      <c r="C6" s="48" t="s">
        <v>22</v>
      </c>
      <c r="D6" s="48" t="s">
        <v>37</v>
      </c>
      <c r="E6" s="55">
        <v>45976.0</v>
      </c>
      <c r="F6" s="55">
        <v>45976.0</v>
      </c>
      <c r="G6" s="57" t="s">
        <v>149</v>
      </c>
      <c r="H6" s="48" t="s">
        <v>69</v>
      </c>
      <c r="I6" s="58">
        <v>1320.0</v>
      </c>
      <c r="J6" s="57" t="s">
        <v>100</v>
      </c>
      <c r="K6" s="52" t="s">
        <v>73</v>
      </c>
      <c r="L6" s="53" t="s">
        <v>77</v>
      </c>
    </row>
    <row r="7" ht="22.5" customHeight="1">
      <c r="B7" s="56" t="s">
        <v>68</v>
      </c>
      <c r="C7" s="48" t="s">
        <v>21</v>
      </c>
      <c r="D7" s="48" t="s">
        <v>68</v>
      </c>
      <c r="E7" s="55">
        <v>45977.0</v>
      </c>
      <c r="F7" s="55">
        <v>45977.0</v>
      </c>
      <c r="G7" s="57" t="s">
        <v>149</v>
      </c>
      <c r="H7" s="48" t="s">
        <v>82</v>
      </c>
      <c r="I7" s="58">
        <v>1320.0</v>
      </c>
      <c r="J7" s="48" t="s">
        <v>28</v>
      </c>
      <c r="K7" s="52" t="s">
        <v>20</v>
      </c>
      <c r="L7" s="53" t="s">
        <v>57</v>
      </c>
    </row>
    <row r="8" ht="22.5" customHeight="1">
      <c r="B8" s="56" t="s">
        <v>36</v>
      </c>
      <c r="C8" s="48" t="s">
        <v>21</v>
      </c>
      <c r="D8" s="48" t="s">
        <v>36</v>
      </c>
      <c r="E8" s="55">
        <v>45978.0</v>
      </c>
      <c r="F8" s="55">
        <v>45978.0</v>
      </c>
      <c r="G8" s="57" t="s">
        <v>149</v>
      </c>
      <c r="H8" s="57" t="s">
        <v>91</v>
      </c>
      <c r="I8" s="58">
        <v>450.0</v>
      </c>
      <c r="J8" s="48" t="s">
        <v>63</v>
      </c>
      <c r="K8" s="52" t="s">
        <v>73</v>
      </c>
      <c r="L8" s="53" t="s">
        <v>77</v>
      </c>
    </row>
    <row r="9" ht="22.5" customHeight="1">
      <c r="B9" s="56" t="s">
        <v>35</v>
      </c>
      <c r="C9" s="48" t="s">
        <v>19</v>
      </c>
      <c r="D9" s="48" t="s">
        <v>35</v>
      </c>
      <c r="E9" s="55">
        <v>45979.0</v>
      </c>
      <c r="F9" s="55">
        <v>45979.0</v>
      </c>
      <c r="G9" s="57" t="s">
        <v>145</v>
      </c>
      <c r="H9" s="48" t="s">
        <v>69</v>
      </c>
      <c r="I9" s="58">
        <v>450.0</v>
      </c>
      <c r="J9" s="57" t="s">
        <v>93</v>
      </c>
      <c r="K9" s="52" t="s">
        <v>20</v>
      </c>
      <c r="L9" s="53" t="s">
        <v>57</v>
      </c>
    </row>
    <row r="10" ht="22.5" customHeight="1">
      <c r="B10" s="56" t="s">
        <v>152</v>
      </c>
      <c r="C10" s="48" t="s">
        <v>22</v>
      </c>
      <c r="D10" s="48" t="s">
        <v>37</v>
      </c>
      <c r="E10" s="55">
        <v>45980.0</v>
      </c>
      <c r="F10" s="55">
        <v>45980.0</v>
      </c>
      <c r="G10" s="57" t="s">
        <v>149</v>
      </c>
      <c r="H10" s="48" t="s">
        <v>82</v>
      </c>
      <c r="I10" s="58">
        <v>1320.0</v>
      </c>
      <c r="J10" s="57" t="s">
        <v>100</v>
      </c>
      <c r="K10" s="52" t="s">
        <v>73</v>
      </c>
      <c r="L10" s="53" t="s">
        <v>77</v>
      </c>
    </row>
    <row r="11" ht="22.5" customHeight="1">
      <c r="B11" s="56" t="s">
        <v>154</v>
      </c>
      <c r="C11" s="48" t="s">
        <v>22</v>
      </c>
      <c r="D11" s="48" t="s">
        <v>37</v>
      </c>
      <c r="E11" s="55">
        <v>45981.0</v>
      </c>
      <c r="F11" s="55">
        <v>45981.0</v>
      </c>
      <c r="G11" s="57" t="s">
        <v>149</v>
      </c>
      <c r="H11" s="57" t="s">
        <v>91</v>
      </c>
      <c r="I11" s="58">
        <v>1320.0</v>
      </c>
      <c r="J11" s="48" t="s">
        <v>28</v>
      </c>
      <c r="K11" s="52" t="s">
        <v>20</v>
      </c>
      <c r="L11" s="53" t="s">
        <v>57</v>
      </c>
    </row>
    <row r="12" ht="22.5" customHeight="1">
      <c r="B12" s="56" t="s">
        <v>68</v>
      </c>
      <c r="C12" s="48" t="s">
        <v>21</v>
      </c>
      <c r="D12" s="48" t="s">
        <v>68</v>
      </c>
      <c r="E12" s="55">
        <v>45982.0</v>
      </c>
      <c r="F12" s="55">
        <v>45982.0</v>
      </c>
      <c r="G12" s="57" t="s">
        <v>149</v>
      </c>
      <c r="H12" s="48" t="s">
        <v>69</v>
      </c>
      <c r="I12" s="58">
        <v>2500.0</v>
      </c>
      <c r="J12" s="48" t="s">
        <v>63</v>
      </c>
      <c r="K12" s="52" t="s">
        <v>73</v>
      </c>
      <c r="L12" s="53" t="s">
        <v>77</v>
      </c>
    </row>
    <row r="13" ht="22.5" customHeight="1">
      <c r="B13" s="56" t="s">
        <v>155</v>
      </c>
      <c r="C13" s="48" t="s">
        <v>156</v>
      </c>
      <c r="D13" s="48" t="s">
        <v>49</v>
      </c>
      <c r="E13" s="55">
        <v>45983.0</v>
      </c>
      <c r="F13" s="55">
        <v>45983.0</v>
      </c>
      <c r="G13" s="57" t="s">
        <v>145</v>
      </c>
      <c r="H13" s="48" t="s">
        <v>82</v>
      </c>
      <c r="I13" s="58">
        <v>925.0</v>
      </c>
      <c r="J13" s="57" t="s">
        <v>93</v>
      </c>
      <c r="K13" s="52" t="s">
        <v>20</v>
      </c>
      <c r="L13" s="53" t="s">
        <v>57</v>
      </c>
    </row>
    <row r="14" ht="22.5" customHeight="1">
      <c r="B14" s="56" t="s">
        <v>26</v>
      </c>
      <c r="C14" s="48" t="s">
        <v>26</v>
      </c>
      <c r="D14" s="48" t="s">
        <v>76</v>
      </c>
      <c r="E14" s="55">
        <v>45984.0</v>
      </c>
      <c r="F14" s="55">
        <v>45984.0</v>
      </c>
      <c r="G14" s="57" t="s">
        <v>145</v>
      </c>
      <c r="H14" s="57" t="s">
        <v>91</v>
      </c>
      <c r="I14" s="58">
        <v>650.0</v>
      </c>
      <c r="J14" s="57" t="s">
        <v>100</v>
      </c>
      <c r="K14" s="52" t="s">
        <v>73</v>
      </c>
      <c r="L14" s="53" t="s">
        <v>77</v>
      </c>
    </row>
    <row r="15" ht="22.5" customHeight="1">
      <c r="B15" s="56" t="s">
        <v>152</v>
      </c>
      <c r="C15" s="48" t="s">
        <v>22</v>
      </c>
      <c r="D15" s="48" t="s">
        <v>37</v>
      </c>
      <c r="E15" s="55">
        <v>45985.0</v>
      </c>
      <c r="F15" s="55">
        <v>45985.0</v>
      </c>
      <c r="G15" s="57" t="s">
        <v>149</v>
      </c>
      <c r="H15" s="48" t="s">
        <v>69</v>
      </c>
      <c r="I15" s="58">
        <v>1320.0</v>
      </c>
      <c r="J15" s="48" t="s">
        <v>28</v>
      </c>
      <c r="K15" s="52" t="s">
        <v>20</v>
      </c>
      <c r="L15" s="53" t="s">
        <v>57</v>
      </c>
    </row>
    <row r="16" ht="22.5" customHeight="1">
      <c r="B16" s="56" t="s">
        <v>154</v>
      </c>
      <c r="C16" s="48" t="s">
        <v>22</v>
      </c>
      <c r="D16" s="48" t="s">
        <v>37</v>
      </c>
      <c r="E16" s="55">
        <v>45986.0</v>
      </c>
      <c r="F16" s="55">
        <v>45986.0</v>
      </c>
      <c r="G16" s="57" t="s">
        <v>149</v>
      </c>
      <c r="H16" s="48" t="s">
        <v>82</v>
      </c>
      <c r="I16" s="58">
        <v>1320.0</v>
      </c>
      <c r="J16" s="48" t="s">
        <v>63</v>
      </c>
      <c r="K16" s="52" t="s">
        <v>73</v>
      </c>
      <c r="L16" s="53" t="s">
        <v>77</v>
      </c>
    </row>
    <row r="17" ht="22.5" customHeight="1">
      <c r="B17" s="56" t="s">
        <v>157</v>
      </c>
      <c r="C17" s="48" t="s">
        <v>19</v>
      </c>
      <c r="D17" s="48" t="s">
        <v>35</v>
      </c>
      <c r="E17" s="55">
        <v>45987.0</v>
      </c>
      <c r="F17" s="55">
        <v>45987.0</v>
      </c>
      <c r="G17" s="57" t="s">
        <v>149</v>
      </c>
      <c r="H17" s="57" t="s">
        <v>91</v>
      </c>
      <c r="I17" s="58">
        <v>8000.0</v>
      </c>
      <c r="J17" s="57" t="s">
        <v>93</v>
      </c>
      <c r="K17" s="52" t="s">
        <v>20</v>
      </c>
      <c r="L17" s="53" t="s">
        <v>57</v>
      </c>
    </row>
    <row r="18" ht="22.5" customHeight="1">
      <c r="B18" s="56" t="s">
        <v>163</v>
      </c>
      <c r="C18" s="48" t="s">
        <v>25</v>
      </c>
      <c r="D18" s="57" t="s">
        <v>61</v>
      </c>
      <c r="E18" s="55">
        <v>45988.0</v>
      </c>
      <c r="F18" s="55">
        <v>45988.0</v>
      </c>
      <c r="G18" s="57" t="s">
        <v>149</v>
      </c>
      <c r="H18" s="57" t="s">
        <v>69</v>
      </c>
      <c r="I18" s="58">
        <v>35000.0</v>
      </c>
      <c r="J18" s="57" t="s">
        <v>93</v>
      </c>
      <c r="K18" s="52" t="s">
        <v>73</v>
      </c>
      <c r="L18" s="53" t="s">
        <v>77</v>
      </c>
    </row>
    <row r="19" ht="22.5" customHeight="1">
      <c r="B19" s="56"/>
      <c r="C19" s="64"/>
      <c r="D19" s="65"/>
      <c r="E19" s="66"/>
      <c r="F19" s="66"/>
      <c r="G19" s="57"/>
      <c r="H19" s="64"/>
      <c r="I19" s="58"/>
      <c r="J19" s="51"/>
      <c r="K19" s="52"/>
      <c r="L19" s="53"/>
    </row>
    <row r="20" ht="22.5" customHeight="1">
      <c r="B20" s="56"/>
      <c r="C20" s="64"/>
      <c r="D20" s="65"/>
      <c r="E20" s="66"/>
      <c r="F20" s="66"/>
      <c r="G20" s="57"/>
      <c r="H20" s="64"/>
      <c r="I20" s="58"/>
      <c r="J20" s="48"/>
      <c r="K20" s="52"/>
      <c r="L20" s="53"/>
    </row>
    <row r="21" ht="22.5" customHeight="1">
      <c r="B21" s="56"/>
      <c r="C21" s="64"/>
      <c r="D21" s="65"/>
      <c r="E21" s="66"/>
      <c r="F21" s="66"/>
      <c r="G21" s="57"/>
      <c r="H21" s="67"/>
      <c r="I21" s="58"/>
      <c r="J21" s="57"/>
      <c r="K21" s="68"/>
      <c r="L21" s="69"/>
    </row>
    <row r="22" ht="22.5" customHeight="1">
      <c r="B22" s="56"/>
      <c r="C22" s="64"/>
      <c r="D22" s="65"/>
      <c r="E22" s="66"/>
      <c r="F22" s="66"/>
      <c r="G22" s="57"/>
      <c r="H22" s="67"/>
      <c r="I22" s="58"/>
      <c r="J22" s="57"/>
      <c r="K22" s="68"/>
      <c r="L22" s="69"/>
    </row>
    <row r="23" ht="22.5" customHeight="1">
      <c r="B23" s="56"/>
      <c r="C23" s="64"/>
      <c r="D23" s="65"/>
      <c r="E23" s="66"/>
      <c r="F23" s="66"/>
      <c r="G23" s="57"/>
      <c r="H23" s="64"/>
      <c r="I23" s="58"/>
      <c r="J23" s="51"/>
      <c r="K23" s="52"/>
      <c r="L23" s="53"/>
    </row>
    <row r="24" ht="22.5" customHeight="1">
      <c r="B24" s="56"/>
      <c r="C24" s="64"/>
      <c r="D24" s="65"/>
      <c r="E24" s="66"/>
      <c r="F24" s="66"/>
      <c r="G24" s="57"/>
      <c r="H24" s="64"/>
      <c r="I24" s="58"/>
      <c r="J24" s="48"/>
      <c r="K24" s="52"/>
      <c r="L24" s="53"/>
    </row>
    <row r="25" ht="22.5" customHeight="1">
      <c r="B25" s="56"/>
      <c r="C25" s="64"/>
      <c r="D25" s="65"/>
      <c r="E25" s="66"/>
      <c r="F25" s="66"/>
      <c r="G25" s="57"/>
      <c r="H25" s="67"/>
      <c r="I25" s="58"/>
      <c r="J25" s="57"/>
      <c r="K25" s="68"/>
      <c r="L25" s="69"/>
    </row>
    <row r="26" ht="22.5" customHeight="1">
      <c r="B26" s="56"/>
      <c r="C26" s="64"/>
      <c r="D26" s="65"/>
      <c r="E26" s="66"/>
      <c r="F26" s="66"/>
      <c r="G26" s="57"/>
      <c r="H26" s="67"/>
      <c r="I26" s="58"/>
      <c r="J26" s="57"/>
      <c r="K26" s="68"/>
      <c r="L26" s="69"/>
    </row>
  </sheetData>
  <customSheetViews>
    <customSheetView guid="{CF18F993-05F1-4AF9-9639-BEA76575F38E}" filter="1" showAutoFilter="1">
      <autoFilter ref="$B$2:$L$26"/>
    </customSheetView>
  </customSheetViews>
  <dataValidations>
    <dataValidation type="list" allowBlank="1" sqref="C3:C26">
      <formula1>CatDespesas</formula1>
    </dataValidation>
    <dataValidation type="list" allowBlank="1" sqref="H3:H26">
      <formula1>Fornecedores</formula1>
    </dataValidation>
    <dataValidation type="custom" allowBlank="1" showDropDown="1" sqref="E3:F26">
      <formula1>OR(NOT(ISERROR(DATEVALUE(E3))), AND(ISNUMBER(E3), LEFT(CELL("format", E3))="D"))</formula1>
    </dataValidation>
    <dataValidation type="list" allowBlank="1" showErrorMessage="1" sqref="G3:G26">
      <formula1>"Previsto,Realizado"</formula1>
    </dataValidation>
    <dataValidation type="list" allowBlank="1" showErrorMessage="1" sqref="L3:L26">
      <formula1>CentroCustos</formula1>
    </dataValidation>
    <dataValidation type="custom" allowBlank="1" showDropDown="1" sqref="I3:I26">
      <formula1>AND(ISNUMBER(I3),(NOT(OR(NOT(ISERROR(DATEVALUE(I3))), AND(ISNUMBER(I3), LEFT(CELL("format", I3))="D")))))</formula1>
    </dataValidation>
    <dataValidation type="list" allowBlank="1" showErrorMessage="1" sqref="J3:J26">
      <formula1>formaspgto</formula1>
    </dataValidation>
    <dataValidation type="list" allowBlank="1" sqref="D3:D26">
      <formula1>plano_despesas</formula1>
    </dataValidation>
    <dataValidation type="list" allowBlank="1" showErrorMessage="1" sqref="K3:K26">
      <formula1>bancos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25"/>
    <col customWidth="1" min="3" max="3" width="21.5"/>
  </cols>
  <sheetData>
    <row r="2" ht="22.5" customHeight="1">
      <c r="B2" s="60" t="s">
        <v>159</v>
      </c>
      <c r="C2" s="60" t="s">
        <v>160</v>
      </c>
      <c r="D2" s="60" t="s">
        <v>161</v>
      </c>
      <c r="E2" s="60" t="s">
        <v>162</v>
      </c>
    </row>
    <row r="3" ht="22.5" customHeight="1">
      <c r="B3" s="61" t="s">
        <v>20</v>
      </c>
      <c r="C3" s="61" t="s">
        <v>73</v>
      </c>
      <c r="D3" s="62">
        <v>44927.0</v>
      </c>
      <c r="E3" s="63">
        <v>1500.0</v>
      </c>
    </row>
    <row r="4" ht="22.5" customHeight="1">
      <c r="B4" s="61" t="s">
        <v>20</v>
      </c>
      <c r="C4" s="61" t="s">
        <v>73</v>
      </c>
      <c r="D4" s="62">
        <v>44958.0</v>
      </c>
      <c r="E4" s="63">
        <v>1500.0</v>
      </c>
    </row>
    <row r="5" ht="22.5" customHeight="1">
      <c r="B5" s="61" t="s">
        <v>20</v>
      </c>
      <c r="C5" s="61" t="s">
        <v>73</v>
      </c>
      <c r="D5" s="62">
        <v>44986.0</v>
      </c>
      <c r="E5" s="63">
        <v>50000.0</v>
      </c>
    </row>
    <row r="6" ht="22.5" customHeight="1">
      <c r="B6" s="61" t="s">
        <v>20</v>
      </c>
      <c r="C6" s="61" t="s">
        <v>73</v>
      </c>
      <c r="D6" s="62">
        <v>45017.0</v>
      </c>
      <c r="E6" s="63">
        <v>1500.0</v>
      </c>
    </row>
    <row r="7" ht="22.5" customHeight="1">
      <c r="B7" s="61" t="s">
        <v>20</v>
      </c>
      <c r="C7" s="61" t="s">
        <v>73</v>
      </c>
      <c r="D7" s="62">
        <v>45047.0</v>
      </c>
      <c r="E7" s="63">
        <v>1500.0</v>
      </c>
    </row>
    <row r="8" ht="22.5" customHeight="1">
      <c r="B8" s="61" t="s">
        <v>20</v>
      </c>
      <c r="C8" s="61" t="s">
        <v>73</v>
      </c>
      <c r="D8" s="62">
        <v>45078.0</v>
      </c>
      <c r="E8" s="63">
        <v>1500.0</v>
      </c>
    </row>
    <row r="9" ht="22.5" customHeight="1">
      <c r="B9" s="61" t="s">
        <v>20</v>
      </c>
      <c r="C9" s="61" t="s">
        <v>73</v>
      </c>
      <c r="D9" s="62">
        <v>45108.0</v>
      </c>
      <c r="E9" s="63">
        <v>1500.0</v>
      </c>
    </row>
  </sheetData>
  <dataValidations>
    <dataValidation type="list" allowBlank="1" showErrorMessage="1" sqref="B3:C9">
      <formula1>bancos</formula1>
    </dataValidation>
    <dataValidation type="custom" allowBlank="1" showDropDown="1" sqref="D3:D9">
      <formula1>OR(NOT(ISERROR(DATEVALUE(D3))), AND(ISNUMBER(D3), LEFT(CELL("format", D3))="D"))</formula1>
    </dataValidation>
    <dataValidation type="custom" allowBlank="1" showDropDown="1" sqref="E3:E9">
      <formula1>AND(ISNUMBER(E3),(NOT(OR(NOT(ISERROR(DATEVALUE(E3))), AND(ISNUMBER(E3), LEFT(CELL("format", E3))="D")))))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0"/>
    <col customWidth="1" min="2" max="2" width="29.88"/>
    <col customWidth="1" min="3" max="3" width="19.25"/>
    <col customWidth="1" min="4" max="4" width="16.38"/>
    <col customWidth="1" min="5" max="5" width="20.5"/>
    <col customWidth="1" min="6" max="6" width="16.25"/>
    <col customWidth="1" min="9" max="9" width="5.38"/>
    <col customWidth="1" min="10" max="10" width="12.88"/>
  </cols>
  <sheetData>
    <row r="1" ht="9.0" customHeight="1">
      <c r="A1" s="4"/>
      <c r="B1" s="4"/>
      <c r="C1" s="6"/>
      <c r="D1" s="4"/>
      <c r="E1" s="4"/>
      <c r="F1" s="4"/>
      <c r="G1" s="4"/>
      <c r="H1" s="4"/>
      <c r="I1" s="4"/>
      <c r="J1" s="4"/>
      <c r="K1" s="70"/>
      <c r="L1" s="70"/>
      <c r="M1" s="4"/>
      <c r="N1" s="4"/>
      <c r="O1" s="71"/>
      <c r="P1" s="4"/>
    </row>
    <row r="2">
      <c r="B2" s="10" t="s">
        <v>166</v>
      </c>
      <c r="D2" s="72" t="s">
        <v>167</v>
      </c>
      <c r="H2" s="73"/>
      <c r="K2" s="74" t="s">
        <v>168</v>
      </c>
    </row>
    <row r="3">
      <c r="D3" s="75" t="s">
        <v>169</v>
      </c>
      <c r="E3" s="76">
        <v>2025.0</v>
      </c>
      <c r="I3" s="77"/>
      <c r="K3" s="78" t="s">
        <v>170</v>
      </c>
      <c r="L3" s="79">
        <f>DATE( 'Contas a Receber'!E3,VLOOKUP('Contas a Receber'!$E$4,X!$I$2:$J$14,2,FALSE),1)</f>
        <v>45658</v>
      </c>
    </row>
    <row r="4">
      <c r="B4" s="80" t="s">
        <v>171</v>
      </c>
      <c r="C4" s="81"/>
      <c r="D4" s="82" t="s">
        <v>172</v>
      </c>
      <c r="E4" s="83" t="s">
        <v>173</v>
      </c>
      <c r="F4" s="81"/>
      <c r="G4" s="81"/>
      <c r="H4" s="81"/>
      <c r="I4" s="81"/>
      <c r="J4" s="81"/>
      <c r="K4" s="84"/>
      <c r="L4" s="85"/>
    </row>
    <row r="5" ht="24.0" customHeight="1">
      <c r="B5" s="86">
        <f>SUM(E9:E1005)</f>
        <v>16600</v>
      </c>
      <c r="D5" s="82" t="s">
        <v>174</v>
      </c>
      <c r="E5" s="87" t="s">
        <v>173</v>
      </c>
      <c r="I5" s="77"/>
      <c r="J5" s="88"/>
      <c r="K5" s="78" t="s">
        <v>175</v>
      </c>
      <c r="L5" s="79">
        <f>IF('Contas a Receber'!E4="Todos",EDATE(L3,12),EDATE(L3,1))</f>
        <v>46023</v>
      </c>
    </row>
    <row r="6">
      <c r="D6" s="89" t="s">
        <v>176</v>
      </c>
      <c r="E6" s="34" t="s">
        <v>173</v>
      </c>
      <c r="K6" s="78"/>
      <c r="L6" s="85"/>
    </row>
    <row r="7">
      <c r="K7" s="85"/>
      <c r="L7" s="85"/>
    </row>
    <row r="8">
      <c r="B8" s="90" t="s">
        <v>177</v>
      </c>
      <c r="C8" s="91" t="s">
        <v>137</v>
      </c>
      <c r="D8" s="91" t="s">
        <v>178</v>
      </c>
      <c r="E8" s="91" t="s">
        <v>162</v>
      </c>
      <c r="K8" s="85"/>
      <c r="L8" s="85"/>
    </row>
    <row r="9">
      <c r="B9" s="96" t="str">
        <f>IFERROR(__xludf.DUMMYFUNCTION("IFERROR(
  INDEX(
    SORT(
      FILTER(
        {Entradas[Data do Recebimento],Entradas[Descrição]},
        Entradas[Status]=""Previsto"",
        Entradas[Data do Recebimento]&gt;='Contas a Receber'!$L$3,
        Entradas[Data do Recebimento]&lt;'Contas a R"&amp;"eceber'!$L$5,
        IF($E$5=""Todos"", Entradas[Cliente]&lt;&gt;""-"", Entradas[Cliente]=$E$5),
        IF(E6=""Todos"", Entradas[Centro de Custos]&lt;&gt;""-"", Entradas[Centro de Custos]=E6)
      ),
      1, TRUE
    ),
    ,2
  ),
  ""Não há contas com o filtro"&amp;" selecionado""
)
"),"Vendas em pix")</f>
        <v>Vendas em pix</v>
      </c>
      <c r="C9" s="96" t="str">
        <f>IFERROR(__xludf.DUMMYFUNCTION("IFERROR(
  INDEX(
    SORT(
      FILTER(
        {Entradas[Data do Recebimento],Entradas[Cliente]},
        Entradas[Status]=""Previsto"",
        Entradas[Data do Recebimento]&gt;='Contas a Receber'!$L$3,
        Entradas[Data do Recebimento]&lt;'Contas a Rec"&amp;"eber'!$L$5,
        IF($E$5=""Todos"", Entradas[Cliente]&lt;&gt;""-"", Entradas[Cliente]=$E$5),
        IF(E6=""Todos"", Entradas[Centro de Custos]&lt;&gt;""-"", Entradas[Centro de Custos]=E6)
      ),
      1, TRUE
    ),
    ,2
  ),
  ""Não há contas com o filtro s"&amp;"elecionado""
)
"),"Luiz Castro")</f>
        <v>Luiz Castro</v>
      </c>
      <c r="D9" s="102">
        <f>IFERROR(__xludf.DUMMYFUNCTION("IFERROR(
  INDEX(
    SORT(
      FILTER(
        {Entradas[Data do Recebimento],Entradas[Data do Recebimento]},
        Entradas[Status]=""Previsto"",
        Entradas[Data do Recebimento]&gt;='Contas a Receber'!$L$3,
        Entradas[Data do Recebimento]&lt;'"&amp;"Contas a Receber'!$L$5,
        IF($E$5=""Todos"", Entradas[Cliente]&lt;&gt;""-"", Entradas[Cliente]=$E$5),
        IF(E6=""Todos"", Entradas[Centro de Custos]&lt;&gt;""-"", Entradas[Centro de Custos]=E6)
      ),
      1, TRUE
    ),
    ,2
  ),
  ""Não há contas co"&amp;"m o filtro selecionado""
)
"),45975.0)</f>
        <v>45975</v>
      </c>
      <c r="E9" s="103">
        <f>IFERROR(__xludf.DUMMYFUNCTION("IFERROR(
  INDEX(
    SORT(
      FILTER(
        {Entradas[Data do Recebimento],Entradas[Valores]},
        Entradas[Status]=""Previsto"",
        Entradas[Data do Recebimento]&gt;='Contas a Receber'!$L$3,
        Entradas[Data do Recebimento]&lt;'Contas a Rec"&amp;"eber'!$L$5,
        IF($E$5=""Todos"", Entradas[Cliente]&lt;&gt;""-"", Entradas[Cliente]=$E$5),
        IF(E6=""Todos"", Entradas[Centro de Custos]&lt;&gt;""-"", Entradas[Centro de Custos]=E6)
      ),
      1, TRUE
    ),
    ,2
  ),
  ""Não há contas com o filtro s"&amp;"elecionado""
)
"),500.0)</f>
        <v>500</v>
      </c>
      <c r="K9" s="85"/>
      <c r="L9" s="85"/>
    </row>
    <row r="10">
      <c r="B10" s="96" t="str">
        <f>IFERROR(__xludf.DUMMYFUNCTION("""COMPUTED_VALUE"""),"Vendas em pix")</f>
        <v>Vendas em pix</v>
      </c>
      <c r="C10" s="96" t="str">
        <f>IFERROR(__xludf.DUMMYFUNCTION("""COMPUTED_VALUE"""),"Luiz Castro")</f>
        <v>Luiz Castro</v>
      </c>
      <c r="D10" s="102">
        <f>IFERROR(__xludf.DUMMYFUNCTION("""COMPUTED_VALUE"""),45979.0)</f>
        <v>45979</v>
      </c>
      <c r="E10" s="103">
        <f>IFERROR(__xludf.DUMMYFUNCTION("""COMPUTED_VALUE"""),800.0)</f>
        <v>800</v>
      </c>
      <c r="K10" s="85"/>
      <c r="L10" s="85"/>
    </row>
    <row r="11">
      <c r="B11" s="96" t="str">
        <f>IFERROR(__xludf.DUMMYFUNCTION("""COMPUTED_VALUE"""),"Vendas em pix")</f>
        <v>Vendas em pix</v>
      </c>
      <c r="C11" s="96" t="str">
        <f>IFERROR(__xludf.DUMMYFUNCTION("""COMPUTED_VALUE"""),"Luiz Castro")</f>
        <v>Luiz Castro</v>
      </c>
      <c r="D11" s="102">
        <f>IFERROR(__xludf.DUMMYFUNCTION("""COMPUTED_VALUE"""),45983.0)</f>
        <v>45983</v>
      </c>
      <c r="E11" s="103">
        <f>IFERROR(__xludf.DUMMYFUNCTION("""COMPUTED_VALUE"""),800.0)</f>
        <v>800</v>
      </c>
      <c r="K11" s="85"/>
      <c r="L11" s="85"/>
    </row>
    <row r="12">
      <c r="B12" s="96" t="str">
        <f>IFERROR(__xludf.DUMMYFUNCTION("""COMPUTED_VALUE"""),"Venda de carro João 1/3")</f>
        <v>Venda de carro João 1/3</v>
      </c>
      <c r="C12" s="96" t="str">
        <f>IFERROR(__xludf.DUMMYFUNCTION("""COMPUTED_VALUE"""),"Roger Machado")</f>
        <v>Roger Machado</v>
      </c>
      <c r="D12" s="102">
        <f>IFERROR(__xludf.DUMMYFUNCTION("""COMPUTED_VALUE"""),45986.0)</f>
        <v>45986</v>
      </c>
      <c r="E12" s="103">
        <f>IFERROR(__xludf.DUMMYFUNCTION("""COMPUTED_VALUE"""),5000.0)</f>
        <v>5000</v>
      </c>
      <c r="K12" s="85"/>
      <c r="L12" s="85"/>
    </row>
    <row r="13">
      <c r="B13" s="96" t="str">
        <f>IFERROR(__xludf.DUMMYFUNCTION("""COMPUTED_VALUE"""),"Venda de carro João 2/3")</f>
        <v>Venda de carro João 2/3</v>
      </c>
      <c r="C13" s="96" t="str">
        <f>IFERROR(__xludf.DUMMYFUNCTION("""COMPUTED_VALUE"""),"Luiz Castro")</f>
        <v>Luiz Castro</v>
      </c>
      <c r="D13" s="102">
        <f>IFERROR(__xludf.DUMMYFUNCTION("""COMPUTED_VALUE"""),45987.0)</f>
        <v>45987</v>
      </c>
      <c r="E13" s="103">
        <f>IFERROR(__xludf.DUMMYFUNCTION("""COMPUTED_VALUE"""),5000.0)</f>
        <v>5000</v>
      </c>
      <c r="K13" s="85"/>
      <c r="L13" s="85"/>
    </row>
    <row r="14">
      <c r="B14" s="96" t="str">
        <f>IFERROR(__xludf.DUMMYFUNCTION("""COMPUTED_VALUE"""),"Vendas em pix")</f>
        <v>Vendas em pix</v>
      </c>
      <c r="C14" s="96" t="str">
        <f>IFERROR(__xludf.DUMMYFUNCTION("""COMPUTED_VALUE"""),"Roger Machado")</f>
        <v>Roger Machado</v>
      </c>
      <c r="D14" s="102">
        <f>IFERROR(__xludf.DUMMYFUNCTION("""COMPUTED_VALUE"""),45990.0)</f>
        <v>45990</v>
      </c>
      <c r="E14" s="103">
        <f>IFERROR(__xludf.DUMMYFUNCTION("""COMPUTED_VALUE"""),800.0)</f>
        <v>800</v>
      </c>
      <c r="K14" s="85"/>
      <c r="L14" s="85"/>
    </row>
    <row r="15">
      <c r="B15" s="96" t="str">
        <f>IFERROR(__xludf.DUMMYFUNCTION("""COMPUTED_VALUE"""),"Vendas no Débito")</f>
        <v>Vendas no Débito</v>
      </c>
      <c r="C15" s="96" t="str">
        <f>IFERROR(__xludf.DUMMYFUNCTION("""COMPUTED_VALUE"""),"Luiz Castro")</f>
        <v>Luiz Castro</v>
      </c>
      <c r="D15" s="102">
        <f>IFERROR(__xludf.DUMMYFUNCTION("""COMPUTED_VALUE"""),45995.0)</f>
        <v>45995</v>
      </c>
      <c r="E15" s="103">
        <f>IFERROR(__xludf.DUMMYFUNCTION("""COMPUTED_VALUE"""),1200.0)</f>
        <v>1200</v>
      </c>
      <c r="K15" s="85"/>
      <c r="L15" s="85"/>
    </row>
    <row r="16">
      <c r="B16" s="96" t="str">
        <f>IFERROR(__xludf.DUMMYFUNCTION("""COMPUTED_VALUE"""),"Vendas no Crédito")</f>
        <v>Vendas no Crédito</v>
      </c>
      <c r="C16" s="96" t="str">
        <f>IFERROR(__xludf.DUMMYFUNCTION("""COMPUTED_VALUE"""),"Rafael Paiva")</f>
        <v>Rafael Paiva</v>
      </c>
      <c r="D16" s="102">
        <f>IFERROR(__xludf.DUMMYFUNCTION("""COMPUTED_VALUE"""),45996.0)</f>
        <v>45996</v>
      </c>
      <c r="E16" s="103">
        <f>IFERROR(__xludf.DUMMYFUNCTION("""COMPUTED_VALUE"""),2500.0)</f>
        <v>2500</v>
      </c>
      <c r="K16" s="85"/>
      <c r="L16" s="85"/>
    </row>
    <row r="17">
      <c r="B17" s="96"/>
      <c r="C17" s="96"/>
      <c r="D17" s="102"/>
      <c r="E17" s="103"/>
      <c r="K17" s="85"/>
      <c r="L17" s="85"/>
    </row>
    <row r="18">
      <c r="B18" s="96"/>
      <c r="C18" s="96"/>
      <c r="D18" s="102"/>
      <c r="E18" s="103"/>
      <c r="K18" s="85"/>
      <c r="L18" s="85"/>
    </row>
    <row r="19">
      <c r="B19" s="96"/>
      <c r="C19" s="96"/>
      <c r="D19" s="102"/>
      <c r="E19" s="103"/>
      <c r="K19" s="85"/>
      <c r="L19" s="85"/>
    </row>
    <row r="20">
      <c r="B20" s="96"/>
      <c r="C20" s="96"/>
      <c r="D20" s="102"/>
      <c r="E20" s="103"/>
      <c r="K20" s="85"/>
      <c r="L20" s="85"/>
    </row>
    <row r="21">
      <c r="B21" s="96"/>
      <c r="C21" s="96"/>
      <c r="D21" s="102"/>
      <c r="E21" s="103"/>
      <c r="K21" s="85"/>
      <c r="L21" s="85"/>
    </row>
    <row r="22">
      <c r="B22" s="96"/>
      <c r="C22" s="96"/>
      <c r="D22" s="102"/>
      <c r="E22" s="103"/>
      <c r="K22" s="85"/>
      <c r="L22" s="85"/>
    </row>
    <row r="23">
      <c r="B23" s="96"/>
      <c r="C23" s="96"/>
      <c r="D23" s="102"/>
      <c r="E23" s="103"/>
      <c r="K23" s="85"/>
      <c r="L23" s="85"/>
    </row>
    <row r="24">
      <c r="B24" s="96"/>
      <c r="C24" s="96"/>
      <c r="D24" s="102"/>
      <c r="E24" s="103"/>
      <c r="K24" s="85"/>
      <c r="L24" s="85"/>
    </row>
    <row r="25">
      <c r="B25" s="96"/>
      <c r="C25" s="96"/>
      <c r="D25" s="102"/>
      <c r="E25" s="103"/>
      <c r="K25" s="85"/>
      <c r="L25" s="85"/>
    </row>
    <row r="26">
      <c r="B26" s="96"/>
      <c r="C26" s="96"/>
      <c r="D26" s="102"/>
      <c r="E26" s="103"/>
      <c r="K26" s="85"/>
      <c r="L26" s="85"/>
    </row>
    <row r="27">
      <c r="B27" s="96"/>
      <c r="C27" s="96"/>
      <c r="D27" s="102"/>
      <c r="E27" s="103"/>
      <c r="K27" s="85"/>
      <c r="L27" s="85"/>
    </row>
    <row r="28">
      <c r="B28" s="96"/>
      <c r="C28" s="96"/>
      <c r="D28" s="102"/>
      <c r="E28" s="103"/>
      <c r="K28" s="85"/>
      <c r="L28" s="85"/>
    </row>
    <row r="29">
      <c r="B29" s="96"/>
      <c r="C29" s="96"/>
      <c r="D29" s="102"/>
      <c r="E29" s="103"/>
      <c r="K29" s="85"/>
      <c r="L29" s="85"/>
    </row>
    <row r="30">
      <c r="B30" s="96"/>
      <c r="C30" s="96"/>
      <c r="D30" s="102"/>
      <c r="E30" s="103"/>
      <c r="K30" s="85"/>
      <c r="L30" s="85"/>
    </row>
    <row r="31">
      <c r="B31" s="96"/>
      <c r="C31" s="96"/>
      <c r="D31" s="102"/>
      <c r="E31" s="103"/>
      <c r="K31" s="85"/>
      <c r="L31" s="85"/>
    </row>
    <row r="32">
      <c r="B32" s="96"/>
      <c r="C32" s="96"/>
      <c r="D32" s="102"/>
      <c r="E32" s="103"/>
      <c r="K32" s="85"/>
      <c r="L32" s="85"/>
    </row>
    <row r="33">
      <c r="B33" s="96"/>
      <c r="C33" s="96"/>
      <c r="D33" s="102"/>
      <c r="E33" s="103"/>
      <c r="K33" s="85"/>
      <c r="L33" s="85"/>
    </row>
    <row r="34">
      <c r="B34" s="96"/>
      <c r="C34" s="96"/>
      <c r="D34" s="102"/>
      <c r="E34" s="103"/>
      <c r="K34" s="85"/>
      <c r="L34" s="85"/>
    </row>
    <row r="35">
      <c r="B35" s="96"/>
      <c r="C35" s="96"/>
      <c r="D35" s="102"/>
      <c r="E35" s="103"/>
      <c r="K35" s="85"/>
      <c r="L35" s="85"/>
    </row>
    <row r="36">
      <c r="B36" s="96"/>
      <c r="C36" s="96"/>
      <c r="D36" s="102"/>
      <c r="E36" s="103"/>
      <c r="K36" s="85"/>
      <c r="L36" s="85"/>
    </row>
    <row r="37">
      <c r="B37" s="96"/>
      <c r="C37" s="96"/>
      <c r="D37" s="102"/>
      <c r="E37" s="103"/>
      <c r="K37" s="85"/>
      <c r="L37" s="85"/>
    </row>
    <row r="38">
      <c r="B38" s="96"/>
      <c r="C38" s="96"/>
      <c r="D38" s="102"/>
      <c r="E38" s="103"/>
      <c r="K38" s="85"/>
      <c r="L38" s="85"/>
    </row>
    <row r="39">
      <c r="B39" s="96"/>
      <c r="C39" s="96"/>
      <c r="D39" s="102"/>
      <c r="E39" s="103"/>
      <c r="K39" s="85"/>
      <c r="L39" s="85"/>
    </row>
    <row r="40">
      <c r="B40" s="96"/>
      <c r="C40" s="96"/>
      <c r="D40" s="102"/>
      <c r="E40" s="103"/>
      <c r="K40" s="85"/>
      <c r="L40" s="85"/>
    </row>
    <row r="41">
      <c r="B41" s="96"/>
      <c r="C41" s="96"/>
      <c r="D41" s="102"/>
      <c r="E41" s="103"/>
      <c r="K41" s="85"/>
      <c r="L41" s="85"/>
    </row>
    <row r="42">
      <c r="B42" s="96"/>
      <c r="C42" s="96"/>
      <c r="D42" s="102"/>
      <c r="E42" s="103"/>
      <c r="K42" s="85"/>
      <c r="L42" s="85"/>
    </row>
    <row r="43">
      <c r="B43" s="96"/>
      <c r="C43" s="96"/>
      <c r="D43" s="102"/>
      <c r="E43" s="103"/>
      <c r="K43" s="85"/>
      <c r="L43" s="85"/>
    </row>
    <row r="44">
      <c r="B44" s="96"/>
      <c r="C44" s="96"/>
      <c r="D44" s="102"/>
      <c r="E44" s="103"/>
      <c r="K44" s="85"/>
      <c r="L44" s="85"/>
    </row>
    <row r="45">
      <c r="B45" s="96"/>
      <c r="C45" s="96"/>
      <c r="D45" s="102"/>
      <c r="E45" s="103"/>
      <c r="K45" s="85"/>
      <c r="L45" s="85"/>
    </row>
    <row r="46">
      <c r="B46" s="96"/>
      <c r="C46" s="96"/>
      <c r="D46" s="102"/>
      <c r="E46" s="103"/>
      <c r="K46" s="85"/>
      <c r="L46" s="85"/>
    </row>
    <row r="47">
      <c r="B47" s="96"/>
      <c r="C47" s="96"/>
      <c r="D47" s="102"/>
      <c r="E47" s="103"/>
      <c r="K47" s="85"/>
      <c r="L47" s="85"/>
    </row>
    <row r="48">
      <c r="B48" s="96"/>
      <c r="C48" s="96"/>
      <c r="D48" s="102"/>
      <c r="E48" s="103"/>
      <c r="K48" s="85"/>
      <c r="L48" s="85"/>
    </row>
    <row r="49">
      <c r="B49" s="96"/>
      <c r="C49" s="96"/>
      <c r="D49" s="102"/>
      <c r="E49" s="103"/>
      <c r="K49" s="85"/>
      <c r="L49" s="85"/>
    </row>
    <row r="50">
      <c r="B50" s="96"/>
      <c r="C50" s="96"/>
      <c r="D50" s="102"/>
      <c r="E50" s="103"/>
      <c r="K50" s="85"/>
      <c r="L50" s="85"/>
    </row>
    <row r="51">
      <c r="B51" s="96"/>
      <c r="C51" s="96"/>
      <c r="D51" s="102"/>
      <c r="E51" s="103"/>
      <c r="K51" s="85"/>
      <c r="L51" s="85"/>
    </row>
    <row r="52">
      <c r="B52" s="96"/>
      <c r="C52" s="96"/>
      <c r="D52" s="102"/>
      <c r="E52" s="103"/>
      <c r="K52" s="85"/>
      <c r="L52" s="85"/>
    </row>
    <row r="53">
      <c r="B53" s="96"/>
      <c r="C53" s="96"/>
      <c r="D53" s="102"/>
      <c r="E53" s="103"/>
      <c r="K53" s="85"/>
      <c r="L53" s="85"/>
    </row>
    <row r="54">
      <c r="B54" s="96"/>
      <c r="C54" s="96"/>
      <c r="D54" s="102"/>
      <c r="E54" s="103"/>
      <c r="K54" s="85"/>
      <c r="L54" s="85"/>
    </row>
    <row r="55">
      <c r="D55" s="104"/>
      <c r="E55" s="105"/>
      <c r="K55" s="85"/>
      <c r="L55" s="85"/>
    </row>
    <row r="56">
      <c r="D56" s="104"/>
      <c r="E56" s="105"/>
      <c r="K56" s="85"/>
      <c r="L56" s="85"/>
    </row>
    <row r="57">
      <c r="D57" s="104"/>
      <c r="E57" s="105"/>
      <c r="K57" s="85"/>
      <c r="L57" s="85"/>
    </row>
    <row r="58">
      <c r="D58" s="104"/>
      <c r="E58" s="105"/>
      <c r="K58" s="85"/>
      <c r="L58" s="85"/>
    </row>
    <row r="59">
      <c r="D59" s="104"/>
      <c r="E59" s="105"/>
      <c r="K59" s="85"/>
      <c r="L59" s="85"/>
    </row>
    <row r="60">
      <c r="D60" s="104"/>
      <c r="E60" s="105"/>
      <c r="K60" s="85"/>
      <c r="L60" s="85"/>
    </row>
    <row r="61">
      <c r="D61" s="104"/>
      <c r="E61" s="105"/>
      <c r="K61" s="85"/>
      <c r="L61" s="85"/>
    </row>
    <row r="62">
      <c r="D62" s="104"/>
      <c r="E62" s="105"/>
      <c r="K62" s="85"/>
      <c r="L62" s="85"/>
    </row>
    <row r="63">
      <c r="D63" s="104"/>
      <c r="E63" s="105"/>
      <c r="K63" s="85"/>
      <c r="L63" s="85"/>
    </row>
    <row r="64">
      <c r="D64" s="104"/>
      <c r="E64" s="105"/>
      <c r="K64" s="85"/>
      <c r="L64" s="85"/>
    </row>
    <row r="65">
      <c r="D65" s="104"/>
      <c r="E65" s="105"/>
      <c r="K65" s="85"/>
      <c r="L65" s="85"/>
    </row>
    <row r="66">
      <c r="D66" s="104"/>
      <c r="E66" s="105"/>
      <c r="K66" s="85"/>
      <c r="L66" s="85"/>
    </row>
    <row r="67">
      <c r="D67" s="104"/>
      <c r="E67" s="105"/>
      <c r="K67" s="85"/>
      <c r="L67" s="85"/>
    </row>
    <row r="68">
      <c r="D68" s="104"/>
      <c r="E68" s="105"/>
      <c r="K68" s="85"/>
      <c r="L68" s="85"/>
    </row>
    <row r="69">
      <c r="D69" s="104"/>
      <c r="E69" s="105"/>
      <c r="K69" s="85"/>
      <c r="L69" s="85"/>
    </row>
    <row r="70">
      <c r="D70" s="104"/>
      <c r="E70" s="105"/>
      <c r="K70" s="85"/>
      <c r="L70" s="85"/>
    </row>
    <row r="71">
      <c r="D71" s="104"/>
      <c r="E71" s="105"/>
      <c r="K71" s="85"/>
      <c r="L71" s="85"/>
    </row>
    <row r="72">
      <c r="D72" s="104"/>
      <c r="E72" s="105"/>
      <c r="K72" s="85"/>
      <c r="L72" s="85"/>
    </row>
    <row r="73">
      <c r="D73" s="104"/>
      <c r="E73" s="105"/>
      <c r="K73" s="85"/>
      <c r="L73" s="85"/>
    </row>
    <row r="74">
      <c r="D74" s="104"/>
      <c r="E74" s="105"/>
      <c r="K74" s="85"/>
      <c r="L74" s="85"/>
    </row>
    <row r="75">
      <c r="D75" s="104"/>
      <c r="E75" s="105"/>
      <c r="K75" s="85"/>
      <c r="L75" s="85"/>
    </row>
    <row r="76">
      <c r="D76" s="104"/>
      <c r="E76" s="105"/>
      <c r="K76" s="85"/>
      <c r="L76" s="85"/>
    </row>
    <row r="77">
      <c r="D77" s="104"/>
      <c r="E77" s="105"/>
      <c r="K77" s="85"/>
      <c r="L77" s="85"/>
    </row>
    <row r="78">
      <c r="D78" s="104"/>
      <c r="E78" s="105"/>
      <c r="K78" s="85"/>
      <c r="L78" s="85"/>
    </row>
    <row r="79">
      <c r="D79" s="104"/>
      <c r="E79" s="105"/>
      <c r="K79" s="85"/>
      <c r="L79" s="85"/>
    </row>
    <row r="80">
      <c r="D80" s="104"/>
      <c r="E80" s="105"/>
      <c r="K80" s="85"/>
      <c r="L80" s="85"/>
    </row>
    <row r="81">
      <c r="D81" s="104"/>
      <c r="E81" s="105"/>
      <c r="K81" s="85"/>
      <c r="L81" s="85"/>
    </row>
    <row r="82">
      <c r="D82" s="104"/>
      <c r="E82" s="105"/>
      <c r="K82" s="85"/>
      <c r="L82" s="85"/>
    </row>
    <row r="83">
      <c r="D83" s="104"/>
      <c r="E83" s="105"/>
      <c r="K83" s="85"/>
      <c r="L83" s="85"/>
    </row>
    <row r="84">
      <c r="D84" s="104"/>
      <c r="E84" s="105"/>
      <c r="K84" s="85"/>
      <c r="L84" s="85"/>
    </row>
    <row r="85">
      <c r="D85" s="104"/>
      <c r="E85" s="105"/>
      <c r="K85" s="85"/>
      <c r="L85" s="85"/>
    </row>
    <row r="86">
      <c r="D86" s="104"/>
      <c r="E86" s="105"/>
      <c r="K86" s="85"/>
      <c r="L86" s="85"/>
    </row>
    <row r="87">
      <c r="D87" s="104"/>
      <c r="E87" s="105"/>
      <c r="K87" s="85"/>
      <c r="L87" s="85"/>
    </row>
    <row r="88">
      <c r="D88" s="104"/>
      <c r="E88" s="105"/>
      <c r="K88" s="85"/>
      <c r="L88" s="85"/>
    </row>
    <row r="89">
      <c r="D89" s="104"/>
      <c r="E89" s="105"/>
      <c r="K89" s="85"/>
      <c r="L89" s="85"/>
    </row>
    <row r="90">
      <c r="D90" s="104"/>
      <c r="E90" s="105"/>
      <c r="K90" s="85"/>
      <c r="L90" s="85"/>
    </row>
    <row r="91">
      <c r="D91" s="104"/>
      <c r="E91" s="105"/>
      <c r="K91" s="85"/>
      <c r="L91" s="85"/>
    </row>
    <row r="92">
      <c r="D92" s="104"/>
      <c r="E92" s="105"/>
      <c r="K92" s="85"/>
      <c r="L92" s="85"/>
    </row>
    <row r="93">
      <c r="D93" s="104"/>
      <c r="E93" s="105"/>
      <c r="K93" s="85"/>
      <c r="L93" s="85"/>
    </row>
    <row r="94">
      <c r="D94" s="104"/>
      <c r="E94" s="105"/>
      <c r="K94" s="85"/>
      <c r="L94" s="85"/>
    </row>
    <row r="95">
      <c r="D95" s="104"/>
      <c r="E95" s="105"/>
      <c r="K95" s="85"/>
      <c r="L95" s="85"/>
    </row>
    <row r="96">
      <c r="D96" s="104"/>
      <c r="E96" s="105"/>
      <c r="K96" s="85"/>
      <c r="L96" s="85"/>
    </row>
    <row r="97">
      <c r="D97" s="104"/>
      <c r="E97" s="105"/>
      <c r="K97" s="85"/>
      <c r="L97" s="85"/>
    </row>
    <row r="98">
      <c r="D98" s="104"/>
      <c r="E98" s="105"/>
      <c r="K98" s="85"/>
      <c r="L98" s="85"/>
    </row>
    <row r="99">
      <c r="D99" s="104"/>
      <c r="E99" s="105"/>
      <c r="K99" s="85"/>
      <c r="L99" s="85"/>
    </row>
    <row r="100">
      <c r="D100" s="104"/>
      <c r="E100" s="105"/>
      <c r="K100" s="85"/>
      <c r="L100" s="85"/>
    </row>
    <row r="101">
      <c r="D101" s="104"/>
      <c r="E101" s="105"/>
      <c r="K101" s="85"/>
      <c r="L101" s="85"/>
    </row>
    <row r="102">
      <c r="D102" s="104"/>
      <c r="E102" s="105"/>
      <c r="K102" s="85"/>
      <c r="L102" s="85"/>
    </row>
    <row r="103">
      <c r="D103" s="104"/>
      <c r="E103" s="105"/>
      <c r="K103" s="85"/>
      <c r="L103" s="85"/>
    </row>
    <row r="104">
      <c r="D104" s="104"/>
      <c r="E104" s="105"/>
      <c r="K104" s="85"/>
      <c r="L104" s="85"/>
    </row>
    <row r="105">
      <c r="D105" s="104"/>
      <c r="E105" s="105"/>
      <c r="K105" s="85"/>
      <c r="L105" s="85"/>
    </row>
    <row r="106">
      <c r="D106" s="104"/>
      <c r="E106" s="105"/>
      <c r="K106" s="85"/>
      <c r="L106" s="85"/>
    </row>
    <row r="107">
      <c r="D107" s="104"/>
      <c r="E107" s="105"/>
      <c r="K107" s="85"/>
      <c r="L107" s="85"/>
    </row>
    <row r="108">
      <c r="D108" s="104"/>
      <c r="E108" s="105"/>
      <c r="K108" s="85"/>
      <c r="L108" s="85"/>
    </row>
    <row r="109">
      <c r="D109" s="104"/>
      <c r="E109" s="105"/>
      <c r="K109" s="85"/>
      <c r="L109" s="85"/>
    </row>
    <row r="110">
      <c r="D110" s="104"/>
      <c r="E110" s="105"/>
      <c r="K110" s="85"/>
      <c r="L110" s="85"/>
    </row>
    <row r="111">
      <c r="D111" s="104"/>
      <c r="E111" s="105"/>
      <c r="K111" s="85"/>
      <c r="L111" s="85"/>
    </row>
    <row r="112">
      <c r="D112" s="104"/>
      <c r="E112" s="105"/>
      <c r="K112" s="85"/>
      <c r="L112" s="85"/>
    </row>
    <row r="113">
      <c r="D113" s="104"/>
      <c r="E113" s="105"/>
      <c r="K113" s="85"/>
      <c r="L113" s="85"/>
    </row>
    <row r="114">
      <c r="D114" s="104"/>
      <c r="E114" s="105"/>
      <c r="K114" s="85"/>
      <c r="L114" s="85"/>
    </row>
    <row r="115">
      <c r="D115" s="104"/>
      <c r="E115" s="105"/>
      <c r="K115" s="85"/>
      <c r="L115" s="85"/>
    </row>
    <row r="116">
      <c r="D116" s="104"/>
      <c r="E116" s="105"/>
      <c r="K116" s="85"/>
      <c r="L116" s="85"/>
    </row>
    <row r="117">
      <c r="D117" s="104"/>
      <c r="E117" s="105"/>
      <c r="K117" s="85"/>
      <c r="L117" s="85"/>
    </row>
    <row r="118">
      <c r="D118" s="104"/>
      <c r="E118" s="105"/>
      <c r="K118" s="85"/>
      <c r="L118" s="85"/>
    </row>
    <row r="119">
      <c r="D119" s="104"/>
      <c r="E119" s="105"/>
      <c r="K119" s="85"/>
      <c r="L119" s="85"/>
    </row>
    <row r="120">
      <c r="D120" s="104"/>
      <c r="E120" s="105"/>
      <c r="K120" s="85"/>
      <c r="L120" s="85"/>
    </row>
    <row r="121">
      <c r="D121" s="104"/>
      <c r="E121" s="105"/>
      <c r="K121" s="85"/>
      <c r="L121" s="85"/>
    </row>
    <row r="122">
      <c r="D122" s="104"/>
      <c r="E122" s="105"/>
      <c r="K122" s="85"/>
      <c r="L122" s="85"/>
    </row>
    <row r="123">
      <c r="D123" s="104"/>
      <c r="E123" s="105"/>
      <c r="K123" s="85"/>
      <c r="L123" s="85"/>
    </row>
    <row r="124">
      <c r="D124" s="104"/>
      <c r="E124" s="105"/>
      <c r="K124" s="85"/>
      <c r="L124" s="85"/>
    </row>
    <row r="125">
      <c r="D125" s="104"/>
      <c r="E125" s="105"/>
      <c r="K125" s="85"/>
      <c r="L125" s="85"/>
    </row>
    <row r="126">
      <c r="D126" s="104"/>
      <c r="E126" s="105"/>
      <c r="K126" s="85"/>
      <c r="L126" s="85"/>
    </row>
    <row r="127">
      <c r="D127" s="104"/>
      <c r="E127" s="105"/>
      <c r="K127" s="85"/>
      <c r="L127" s="85"/>
    </row>
    <row r="128">
      <c r="D128" s="104"/>
      <c r="E128" s="105"/>
      <c r="K128" s="85"/>
      <c r="L128" s="85"/>
    </row>
    <row r="129">
      <c r="D129" s="104"/>
      <c r="E129" s="105"/>
      <c r="K129" s="85"/>
      <c r="L129" s="85"/>
    </row>
    <row r="130">
      <c r="D130" s="104"/>
      <c r="E130" s="105"/>
      <c r="K130" s="85"/>
      <c r="L130" s="85"/>
    </row>
    <row r="131">
      <c r="D131" s="104"/>
      <c r="E131" s="105"/>
      <c r="K131" s="85"/>
      <c r="L131" s="85"/>
    </row>
    <row r="132">
      <c r="D132" s="104"/>
      <c r="E132" s="105"/>
      <c r="K132" s="85"/>
      <c r="L132" s="85"/>
    </row>
    <row r="133">
      <c r="D133" s="104"/>
      <c r="E133" s="105"/>
      <c r="K133" s="85"/>
      <c r="L133" s="85"/>
    </row>
    <row r="134">
      <c r="D134" s="104"/>
      <c r="E134" s="105"/>
      <c r="K134" s="85"/>
      <c r="L134" s="85"/>
    </row>
    <row r="135">
      <c r="D135" s="104"/>
      <c r="E135" s="105"/>
      <c r="K135" s="85"/>
      <c r="L135" s="85"/>
    </row>
    <row r="136">
      <c r="D136" s="104"/>
      <c r="E136" s="105"/>
      <c r="K136" s="85"/>
      <c r="L136" s="85"/>
    </row>
    <row r="137">
      <c r="D137" s="104"/>
      <c r="E137" s="105"/>
      <c r="K137" s="85"/>
      <c r="L137" s="85"/>
    </row>
    <row r="138">
      <c r="D138" s="104"/>
      <c r="E138" s="105"/>
      <c r="K138" s="85"/>
      <c r="L138" s="85"/>
    </row>
    <row r="139">
      <c r="D139" s="104"/>
      <c r="E139" s="105"/>
      <c r="K139" s="85"/>
      <c r="L139" s="85"/>
    </row>
    <row r="140">
      <c r="D140" s="104"/>
      <c r="E140" s="105"/>
      <c r="K140" s="85"/>
      <c r="L140" s="85"/>
    </row>
    <row r="141">
      <c r="D141" s="104"/>
      <c r="E141" s="105"/>
      <c r="K141" s="85"/>
      <c r="L141" s="85"/>
    </row>
    <row r="142">
      <c r="D142" s="104"/>
      <c r="E142" s="105"/>
      <c r="K142" s="85"/>
      <c r="L142" s="85"/>
    </row>
    <row r="143">
      <c r="D143" s="104"/>
      <c r="E143" s="105"/>
      <c r="K143" s="85"/>
      <c r="L143" s="85"/>
    </row>
    <row r="144">
      <c r="D144" s="104"/>
      <c r="E144" s="105"/>
      <c r="K144" s="85"/>
      <c r="L144" s="85"/>
    </row>
    <row r="145">
      <c r="D145" s="104"/>
      <c r="E145" s="105"/>
      <c r="K145" s="85"/>
      <c r="L145" s="85"/>
    </row>
    <row r="146">
      <c r="D146" s="104"/>
      <c r="E146" s="105"/>
      <c r="K146" s="85"/>
      <c r="L146" s="85"/>
    </row>
    <row r="147">
      <c r="D147" s="104"/>
      <c r="E147" s="105"/>
      <c r="K147" s="85"/>
      <c r="L147" s="85"/>
    </row>
    <row r="148">
      <c r="D148" s="104"/>
      <c r="E148" s="105"/>
      <c r="K148" s="85"/>
      <c r="L148" s="85"/>
    </row>
    <row r="149">
      <c r="D149" s="104"/>
      <c r="E149" s="105"/>
      <c r="K149" s="85"/>
      <c r="L149" s="85"/>
    </row>
    <row r="150">
      <c r="D150" s="104"/>
      <c r="E150" s="105"/>
      <c r="K150" s="85"/>
      <c r="L150" s="85"/>
    </row>
    <row r="151">
      <c r="D151" s="104"/>
      <c r="E151" s="105"/>
      <c r="K151" s="85"/>
      <c r="L151" s="85"/>
    </row>
    <row r="152">
      <c r="D152" s="104"/>
      <c r="E152" s="105"/>
      <c r="K152" s="85"/>
      <c r="L152" s="85"/>
    </row>
    <row r="153">
      <c r="D153" s="104"/>
      <c r="E153" s="105"/>
      <c r="K153" s="85"/>
      <c r="L153" s="85"/>
    </row>
    <row r="154">
      <c r="D154" s="104"/>
      <c r="E154" s="105"/>
      <c r="K154" s="85"/>
      <c r="L154" s="85"/>
    </row>
    <row r="155">
      <c r="D155" s="104"/>
      <c r="E155" s="105"/>
      <c r="K155" s="85"/>
      <c r="L155" s="85"/>
    </row>
    <row r="156">
      <c r="D156" s="104"/>
      <c r="E156" s="105"/>
      <c r="K156" s="85"/>
      <c r="L156" s="85"/>
    </row>
    <row r="157">
      <c r="D157" s="104"/>
      <c r="E157" s="105"/>
      <c r="K157" s="85"/>
      <c r="L157" s="85"/>
    </row>
    <row r="158">
      <c r="D158" s="104"/>
      <c r="E158" s="105"/>
      <c r="K158" s="85"/>
      <c r="L158" s="85"/>
    </row>
    <row r="159">
      <c r="D159" s="104"/>
      <c r="E159" s="105"/>
      <c r="K159" s="85"/>
      <c r="L159" s="85"/>
    </row>
    <row r="160">
      <c r="D160" s="104"/>
      <c r="E160" s="105"/>
      <c r="K160" s="85"/>
      <c r="L160" s="85"/>
    </row>
    <row r="161">
      <c r="D161" s="104"/>
      <c r="E161" s="105"/>
      <c r="K161" s="85"/>
      <c r="L161" s="85"/>
    </row>
    <row r="162">
      <c r="D162" s="104"/>
      <c r="E162" s="105"/>
      <c r="K162" s="85"/>
      <c r="L162" s="85"/>
    </row>
    <row r="163">
      <c r="D163" s="104"/>
      <c r="E163" s="105"/>
      <c r="K163" s="85"/>
      <c r="L163" s="85"/>
    </row>
    <row r="164">
      <c r="D164" s="104"/>
      <c r="E164" s="105"/>
      <c r="K164" s="85"/>
      <c r="L164" s="85"/>
    </row>
    <row r="165">
      <c r="D165" s="104"/>
      <c r="E165" s="105"/>
      <c r="K165" s="85"/>
      <c r="L165" s="85"/>
    </row>
    <row r="166">
      <c r="D166" s="104"/>
      <c r="E166" s="105"/>
      <c r="K166" s="85"/>
      <c r="L166" s="85"/>
    </row>
    <row r="167">
      <c r="D167" s="104"/>
      <c r="E167" s="105"/>
      <c r="K167" s="85"/>
      <c r="L167" s="85"/>
    </row>
    <row r="168">
      <c r="D168" s="104"/>
      <c r="E168" s="105"/>
      <c r="K168" s="85"/>
      <c r="L168" s="85"/>
    </row>
    <row r="169">
      <c r="D169" s="104"/>
      <c r="E169" s="105"/>
      <c r="K169" s="85"/>
      <c r="L169" s="85"/>
    </row>
    <row r="170">
      <c r="D170" s="104"/>
      <c r="E170" s="105"/>
      <c r="K170" s="85"/>
      <c r="L170" s="85"/>
    </row>
    <row r="171">
      <c r="D171" s="104"/>
      <c r="E171" s="105"/>
      <c r="K171" s="85"/>
      <c r="L171" s="85"/>
    </row>
    <row r="172">
      <c r="D172" s="104"/>
      <c r="E172" s="105"/>
      <c r="K172" s="85"/>
      <c r="L172" s="85"/>
    </row>
    <row r="173">
      <c r="D173" s="104"/>
      <c r="E173" s="105"/>
      <c r="K173" s="85"/>
      <c r="L173" s="85"/>
    </row>
    <row r="174">
      <c r="D174" s="104"/>
      <c r="E174" s="105"/>
      <c r="K174" s="85"/>
      <c r="L174" s="85"/>
    </row>
    <row r="175">
      <c r="D175" s="104"/>
      <c r="E175" s="105"/>
      <c r="K175" s="85"/>
      <c r="L175" s="85"/>
    </row>
    <row r="176">
      <c r="D176" s="104"/>
      <c r="E176" s="105"/>
      <c r="K176" s="85"/>
      <c r="L176" s="85"/>
    </row>
    <row r="177">
      <c r="D177" s="104"/>
      <c r="E177" s="105"/>
      <c r="K177" s="85"/>
      <c r="L177" s="85"/>
    </row>
    <row r="178">
      <c r="D178" s="104"/>
      <c r="E178" s="105"/>
      <c r="K178" s="85"/>
      <c r="L178" s="85"/>
    </row>
    <row r="179">
      <c r="D179" s="104"/>
      <c r="E179" s="105"/>
      <c r="K179" s="85"/>
      <c r="L179" s="85"/>
    </row>
    <row r="180">
      <c r="D180" s="104"/>
      <c r="E180" s="105"/>
      <c r="K180" s="85"/>
      <c r="L180" s="85"/>
    </row>
    <row r="181">
      <c r="D181" s="104"/>
      <c r="E181" s="105"/>
      <c r="K181" s="85"/>
      <c r="L181" s="85"/>
    </row>
    <row r="182">
      <c r="D182" s="104"/>
      <c r="E182" s="105"/>
      <c r="K182" s="85"/>
      <c r="L182" s="85"/>
    </row>
    <row r="183">
      <c r="D183" s="104"/>
      <c r="E183" s="105"/>
      <c r="K183" s="85"/>
      <c r="L183" s="85"/>
    </row>
    <row r="184">
      <c r="D184" s="104"/>
      <c r="E184" s="105"/>
      <c r="K184" s="85"/>
      <c r="L184" s="85"/>
    </row>
    <row r="185">
      <c r="D185" s="104"/>
      <c r="E185" s="105"/>
      <c r="K185" s="85"/>
      <c r="L185" s="85"/>
    </row>
    <row r="186">
      <c r="D186" s="104"/>
      <c r="E186" s="105"/>
      <c r="K186" s="85"/>
      <c r="L186" s="85"/>
    </row>
    <row r="187">
      <c r="D187" s="104"/>
      <c r="E187" s="105"/>
      <c r="K187" s="85"/>
      <c r="L187" s="85"/>
    </row>
    <row r="188">
      <c r="D188" s="104"/>
      <c r="E188" s="105"/>
      <c r="K188" s="85"/>
      <c r="L188" s="85"/>
    </row>
    <row r="189">
      <c r="D189" s="104"/>
      <c r="E189" s="105"/>
      <c r="K189" s="85"/>
      <c r="L189" s="85"/>
    </row>
    <row r="190">
      <c r="D190" s="104"/>
      <c r="E190" s="105"/>
      <c r="K190" s="85"/>
      <c r="L190" s="85"/>
    </row>
    <row r="191">
      <c r="D191" s="104"/>
      <c r="E191" s="105"/>
      <c r="K191" s="85"/>
      <c r="L191" s="85"/>
    </row>
    <row r="192">
      <c r="D192" s="104"/>
      <c r="E192" s="105"/>
      <c r="K192" s="85"/>
      <c r="L192" s="85"/>
    </row>
    <row r="193">
      <c r="D193" s="104"/>
      <c r="E193" s="105"/>
      <c r="K193" s="85"/>
      <c r="L193" s="85"/>
    </row>
    <row r="194">
      <c r="D194" s="104"/>
      <c r="E194" s="105"/>
      <c r="K194" s="85"/>
      <c r="L194" s="85"/>
    </row>
    <row r="195">
      <c r="D195" s="104"/>
      <c r="E195" s="105"/>
      <c r="K195" s="85"/>
      <c r="L195" s="85"/>
    </row>
    <row r="196">
      <c r="D196" s="104"/>
      <c r="E196" s="105"/>
      <c r="K196" s="85"/>
      <c r="L196" s="85"/>
    </row>
    <row r="197">
      <c r="D197" s="104"/>
      <c r="E197" s="105"/>
      <c r="K197" s="85"/>
      <c r="L197" s="85"/>
    </row>
    <row r="198">
      <c r="D198" s="104"/>
      <c r="E198" s="105"/>
      <c r="K198" s="85"/>
      <c r="L198" s="85"/>
    </row>
    <row r="199">
      <c r="D199" s="104"/>
      <c r="E199" s="105"/>
      <c r="K199" s="85"/>
      <c r="L199" s="85"/>
    </row>
    <row r="200">
      <c r="D200" s="104"/>
      <c r="E200" s="105"/>
      <c r="K200" s="85"/>
      <c r="L200" s="85"/>
    </row>
    <row r="201">
      <c r="D201" s="104"/>
      <c r="E201" s="105"/>
      <c r="K201" s="85"/>
      <c r="L201" s="85"/>
    </row>
    <row r="202">
      <c r="D202" s="104"/>
      <c r="E202" s="105"/>
      <c r="K202" s="85"/>
      <c r="L202" s="85"/>
    </row>
    <row r="203">
      <c r="D203" s="104"/>
      <c r="E203" s="105"/>
      <c r="K203" s="85"/>
      <c r="L203" s="85"/>
    </row>
    <row r="204">
      <c r="D204" s="104"/>
      <c r="E204" s="105"/>
      <c r="K204" s="85"/>
      <c r="L204" s="85"/>
    </row>
    <row r="205">
      <c r="D205" s="104"/>
      <c r="E205" s="105"/>
      <c r="K205" s="85"/>
      <c r="L205" s="85"/>
    </row>
    <row r="206">
      <c r="D206" s="104"/>
      <c r="E206" s="105"/>
      <c r="K206" s="85"/>
      <c r="L206" s="85"/>
    </row>
    <row r="207">
      <c r="D207" s="104"/>
      <c r="E207" s="105"/>
      <c r="K207" s="85"/>
      <c r="L207" s="85"/>
    </row>
    <row r="208">
      <c r="D208" s="104"/>
      <c r="E208" s="105"/>
      <c r="K208" s="85"/>
      <c r="L208" s="85"/>
    </row>
    <row r="209">
      <c r="D209" s="104"/>
      <c r="E209" s="105"/>
      <c r="K209" s="85"/>
      <c r="L209" s="85"/>
    </row>
    <row r="210">
      <c r="D210" s="104"/>
      <c r="E210" s="105"/>
      <c r="K210" s="85"/>
      <c r="L210" s="85"/>
    </row>
    <row r="211">
      <c r="D211" s="104"/>
      <c r="E211" s="105"/>
      <c r="K211" s="85"/>
      <c r="L211" s="85"/>
    </row>
    <row r="212">
      <c r="D212" s="104"/>
      <c r="E212" s="105"/>
      <c r="K212" s="85"/>
      <c r="L212" s="85"/>
    </row>
    <row r="213">
      <c r="D213" s="104"/>
      <c r="E213" s="105"/>
      <c r="K213" s="85"/>
      <c r="L213" s="85"/>
    </row>
    <row r="214">
      <c r="D214" s="104"/>
      <c r="E214" s="105"/>
      <c r="K214" s="85"/>
      <c r="L214" s="85"/>
    </row>
    <row r="215">
      <c r="D215" s="104"/>
      <c r="E215" s="105"/>
      <c r="K215" s="85"/>
      <c r="L215" s="85"/>
    </row>
    <row r="216">
      <c r="D216" s="104"/>
      <c r="E216" s="105"/>
      <c r="K216" s="85"/>
      <c r="L216" s="85"/>
    </row>
    <row r="217">
      <c r="D217" s="104"/>
      <c r="E217" s="105"/>
      <c r="K217" s="85"/>
      <c r="L217" s="85"/>
    </row>
    <row r="218">
      <c r="D218" s="104"/>
      <c r="E218" s="105"/>
      <c r="K218" s="85"/>
      <c r="L218" s="85"/>
    </row>
    <row r="219">
      <c r="D219" s="104"/>
      <c r="E219" s="105"/>
      <c r="K219" s="85"/>
      <c r="L219" s="85"/>
    </row>
    <row r="220">
      <c r="D220" s="104"/>
      <c r="E220" s="105"/>
      <c r="K220" s="85"/>
      <c r="L220" s="85"/>
    </row>
    <row r="221">
      <c r="D221" s="104"/>
      <c r="E221" s="105"/>
      <c r="K221" s="85"/>
      <c r="L221" s="85"/>
    </row>
    <row r="222">
      <c r="D222" s="104"/>
      <c r="E222" s="105"/>
      <c r="K222" s="85"/>
      <c r="L222" s="85"/>
    </row>
    <row r="223">
      <c r="D223" s="104"/>
      <c r="E223" s="105"/>
      <c r="K223" s="85"/>
      <c r="L223" s="85"/>
    </row>
    <row r="224">
      <c r="D224" s="104"/>
      <c r="E224" s="105"/>
      <c r="K224" s="85"/>
      <c r="L224" s="85"/>
    </row>
    <row r="225">
      <c r="D225" s="104"/>
      <c r="E225" s="105"/>
      <c r="K225" s="85"/>
      <c r="L225" s="85"/>
    </row>
    <row r="226">
      <c r="D226" s="104"/>
      <c r="E226" s="105"/>
      <c r="K226" s="85"/>
      <c r="L226" s="85"/>
    </row>
    <row r="227">
      <c r="D227" s="104"/>
      <c r="E227" s="105"/>
      <c r="K227" s="85"/>
      <c r="L227" s="85"/>
    </row>
    <row r="228">
      <c r="D228" s="104"/>
      <c r="E228" s="105"/>
      <c r="K228" s="85"/>
      <c r="L228" s="85"/>
    </row>
    <row r="229">
      <c r="D229" s="104"/>
      <c r="E229" s="105"/>
      <c r="K229" s="85"/>
      <c r="L229" s="85"/>
    </row>
    <row r="230">
      <c r="D230" s="104"/>
      <c r="E230" s="105"/>
      <c r="K230" s="85"/>
      <c r="L230" s="85"/>
    </row>
    <row r="231">
      <c r="D231" s="104"/>
      <c r="E231" s="105"/>
      <c r="K231" s="85"/>
      <c r="L231" s="85"/>
    </row>
    <row r="232">
      <c r="D232" s="104"/>
      <c r="E232" s="105"/>
      <c r="K232" s="85"/>
      <c r="L232" s="85"/>
    </row>
    <row r="233">
      <c r="D233" s="104"/>
      <c r="E233" s="105"/>
      <c r="K233" s="85"/>
      <c r="L233" s="85"/>
    </row>
    <row r="234">
      <c r="D234" s="104"/>
      <c r="E234" s="105"/>
      <c r="K234" s="85"/>
      <c r="L234" s="85"/>
    </row>
    <row r="235">
      <c r="D235" s="104"/>
      <c r="E235" s="105"/>
      <c r="K235" s="85"/>
      <c r="L235" s="85"/>
    </row>
    <row r="236">
      <c r="D236" s="104"/>
      <c r="E236" s="105"/>
      <c r="K236" s="85"/>
      <c r="L236" s="85"/>
    </row>
    <row r="237">
      <c r="D237" s="104"/>
      <c r="E237" s="105"/>
      <c r="K237" s="85"/>
      <c r="L237" s="85"/>
    </row>
    <row r="238">
      <c r="D238" s="104"/>
      <c r="E238" s="105"/>
      <c r="K238" s="85"/>
      <c r="L238" s="85"/>
    </row>
    <row r="239">
      <c r="D239" s="104"/>
      <c r="E239" s="105"/>
      <c r="K239" s="85"/>
      <c r="L239" s="85"/>
    </row>
    <row r="240">
      <c r="D240" s="104"/>
      <c r="E240" s="105"/>
      <c r="K240" s="85"/>
      <c r="L240" s="85"/>
    </row>
    <row r="241">
      <c r="D241" s="104"/>
      <c r="E241" s="105"/>
      <c r="K241" s="85"/>
      <c r="L241" s="85"/>
    </row>
    <row r="242">
      <c r="D242" s="104"/>
      <c r="E242" s="105"/>
      <c r="K242" s="85"/>
      <c r="L242" s="85"/>
    </row>
    <row r="243">
      <c r="D243" s="104"/>
      <c r="E243" s="105"/>
      <c r="K243" s="85"/>
      <c r="L243" s="85"/>
    </row>
    <row r="244">
      <c r="D244" s="104"/>
      <c r="E244" s="105"/>
      <c r="K244" s="85"/>
      <c r="L244" s="85"/>
    </row>
    <row r="245">
      <c r="D245" s="104"/>
      <c r="E245" s="105"/>
      <c r="K245" s="85"/>
      <c r="L245" s="85"/>
    </row>
    <row r="246">
      <c r="D246" s="104"/>
      <c r="E246" s="105"/>
      <c r="K246" s="85"/>
      <c r="L246" s="85"/>
    </row>
    <row r="247">
      <c r="D247" s="104"/>
      <c r="E247" s="105"/>
      <c r="K247" s="85"/>
      <c r="L247" s="85"/>
    </row>
    <row r="248">
      <c r="D248" s="104"/>
      <c r="E248" s="105"/>
      <c r="K248" s="85"/>
      <c r="L248" s="85"/>
    </row>
    <row r="249">
      <c r="D249" s="104"/>
      <c r="E249" s="105"/>
      <c r="K249" s="85"/>
      <c r="L249" s="85"/>
    </row>
    <row r="250">
      <c r="D250" s="104"/>
      <c r="E250" s="105"/>
      <c r="K250" s="85"/>
      <c r="L250" s="85"/>
    </row>
    <row r="251">
      <c r="D251" s="104"/>
      <c r="E251" s="105"/>
      <c r="K251" s="85"/>
      <c r="L251" s="85"/>
    </row>
    <row r="252">
      <c r="D252" s="104"/>
      <c r="E252" s="105"/>
      <c r="K252" s="85"/>
      <c r="L252" s="85"/>
    </row>
    <row r="253">
      <c r="D253" s="104"/>
      <c r="E253" s="105"/>
      <c r="K253" s="85"/>
      <c r="L253" s="85"/>
    </row>
    <row r="254">
      <c r="D254" s="104"/>
      <c r="E254" s="105"/>
      <c r="K254" s="85"/>
      <c r="L254" s="85"/>
    </row>
    <row r="255">
      <c r="D255" s="104"/>
      <c r="E255" s="105"/>
      <c r="K255" s="85"/>
      <c r="L255" s="85"/>
    </row>
    <row r="256">
      <c r="D256" s="104"/>
      <c r="E256" s="105"/>
      <c r="K256" s="85"/>
      <c r="L256" s="85"/>
    </row>
    <row r="257">
      <c r="D257" s="104"/>
      <c r="E257" s="105"/>
      <c r="K257" s="85"/>
      <c r="L257" s="85"/>
    </row>
    <row r="258">
      <c r="D258" s="104"/>
      <c r="E258" s="105"/>
      <c r="K258" s="85"/>
      <c r="L258" s="85"/>
    </row>
    <row r="259">
      <c r="D259" s="104"/>
      <c r="E259" s="105"/>
      <c r="K259" s="85"/>
      <c r="L259" s="85"/>
    </row>
    <row r="260">
      <c r="D260" s="104"/>
      <c r="E260" s="105"/>
      <c r="K260" s="85"/>
      <c r="L260" s="85"/>
    </row>
    <row r="261">
      <c r="D261" s="104"/>
      <c r="E261" s="105"/>
      <c r="K261" s="85"/>
      <c r="L261" s="85"/>
    </row>
    <row r="262">
      <c r="D262" s="104"/>
      <c r="E262" s="105"/>
      <c r="K262" s="85"/>
      <c r="L262" s="85"/>
    </row>
    <row r="263">
      <c r="D263" s="104"/>
      <c r="E263" s="105"/>
      <c r="K263" s="85"/>
      <c r="L263" s="85"/>
    </row>
    <row r="264">
      <c r="D264" s="104"/>
      <c r="E264" s="105"/>
      <c r="K264" s="85"/>
      <c r="L264" s="85"/>
    </row>
    <row r="265">
      <c r="D265" s="104"/>
      <c r="E265" s="105"/>
      <c r="K265" s="85"/>
      <c r="L265" s="85"/>
    </row>
    <row r="266">
      <c r="D266" s="104"/>
      <c r="E266" s="105"/>
      <c r="K266" s="85"/>
      <c r="L266" s="85"/>
    </row>
    <row r="267">
      <c r="D267" s="104"/>
      <c r="E267" s="105"/>
      <c r="K267" s="85"/>
      <c r="L267" s="85"/>
    </row>
    <row r="268">
      <c r="D268" s="104"/>
      <c r="E268" s="105"/>
      <c r="K268" s="85"/>
      <c r="L268" s="85"/>
    </row>
    <row r="269">
      <c r="D269" s="104"/>
      <c r="E269" s="105"/>
      <c r="K269" s="85"/>
      <c r="L269" s="85"/>
    </row>
    <row r="270">
      <c r="D270" s="104"/>
      <c r="E270" s="105"/>
      <c r="K270" s="85"/>
      <c r="L270" s="85"/>
    </row>
    <row r="271">
      <c r="D271" s="104"/>
      <c r="E271" s="105"/>
      <c r="K271" s="85"/>
      <c r="L271" s="85"/>
    </row>
    <row r="272">
      <c r="D272" s="104"/>
      <c r="E272" s="105"/>
      <c r="K272" s="85"/>
      <c r="L272" s="85"/>
    </row>
    <row r="273">
      <c r="D273" s="104"/>
      <c r="E273" s="105"/>
      <c r="K273" s="85"/>
      <c r="L273" s="85"/>
    </row>
    <row r="274">
      <c r="D274" s="104"/>
      <c r="E274" s="105"/>
      <c r="K274" s="85"/>
      <c r="L274" s="85"/>
    </row>
    <row r="275">
      <c r="D275" s="104"/>
      <c r="E275" s="105"/>
      <c r="K275" s="85"/>
      <c r="L275" s="85"/>
    </row>
    <row r="276">
      <c r="D276" s="104"/>
      <c r="E276" s="105"/>
      <c r="K276" s="85"/>
      <c r="L276" s="85"/>
    </row>
    <row r="277">
      <c r="D277" s="104"/>
      <c r="E277" s="105"/>
      <c r="K277" s="85"/>
      <c r="L277" s="85"/>
    </row>
    <row r="278">
      <c r="D278" s="104"/>
      <c r="E278" s="105"/>
      <c r="K278" s="85"/>
      <c r="L278" s="85"/>
    </row>
    <row r="279">
      <c r="D279" s="104"/>
      <c r="E279" s="105"/>
      <c r="K279" s="85"/>
      <c r="L279" s="85"/>
    </row>
    <row r="280">
      <c r="D280" s="104"/>
      <c r="E280" s="105"/>
      <c r="K280" s="85"/>
      <c r="L280" s="85"/>
    </row>
    <row r="281">
      <c r="D281" s="104"/>
      <c r="E281" s="105"/>
      <c r="K281" s="85"/>
      <c r="L281" s="85"/>
    </row>
    <row r="282">
      <c r="D282" s="104"/>
      <c r="E282" s="105"/>
      <c r="K282" s="85"/>
      <c r="L282" s="85"/>
    </row>
    <row r="283">
      <c r="D283" s="104"/>
      <c r="E283" s="105"/>
      <c r="K283" s="85"/>
      <c r="L283" s="85"/>
    </row>
    <row r="284">
      <c r="D284" s="104"/>
      <c r="E284" s="105"/>
      <c r="K284" s="85"/>
      <c r="L284" s="85"/>
    </row>
    <row r="285">
      <c r="D285" s="104"/>
      <c r="E285" s="105"/>
      <c r="K285" s="85"/>
      <c r="L285" s="85"/>
    </row>
    <row r="286">
      <c r="D286" s="104"/>
      <c r="E286" s="105"/>
      <c r="K286" s="85"/>
      <c r="L286" s="85"/>
    </row>
    <row r="287">
      <c r="D287" s="104"/>
      <c r="E287" s="105"/>
      <c r="K287" s="85"/>
      <c r="L287" s="85"/>
    </row>
    <row r="288">
      <c r="D288" s="104"/>
      <c r="E288" s="105"/>
      <c r="K288" s="85"/>
      <c r="L288" s="85"/>
    </row>
    <row r="289">
      <c r="D289" s="104"/>
      <c r="E289" s="105"/>
      <c r="K289" s="85"/>
      <c r="L289" s="85"/>
    </row>
    <row r="290">
      <c r="D290" s="104"/>
      <c r="E290" s="105"/>
      <c r="K290" s="85"/>
      <c r="L290" s="85"/>
    </row>
    <row r="291">
      <c r="D291" s="104"/>
      <c r="E291" s="105"/>
      <c r="K291" s="85"/>
      <c r="L291" s="85"/>
    </row>
    <row r="292">
      <c r="D292" s="104"/>
      <c r="E292" s="105"/>
      <c r="K292" s="85"/>
      <c r="L292" s="85"/>
    </row>
    <row r="293">
      <c r="D293" s="104"/>
      <c r="E293" s="105"/>
      <c r="K293" s="85"/>
      <c r="L293" s="85"/>
    </row>
    <row r="294">
      <c r="D294" s="104"/>
      <c r="E294" s="105"/>
      <c r="K294" s="85"/>
      <c r="L294" s="85"/>
    </row>
    <row r="295">
      <c r="D295" s="104"/>
      <c r="E295" s="105"/>
      <c r="K295" s="85"/>
      <c r="L295" s="85"/>
    </row>
    <row r="296">
      <c r="D296" s="104"/>
      <c r="E296" s="105"/>
      <c r="K296" s="85"/>
      <c r="L296" s="85"/>
    </row>
    <row r="297">
      <c r="D297" s="104"/>
      <c r="E297" s="105"/>
      <c r="K297" s="85"/>
      <c r="L297" s="85"/>
    </row>
    <row r="298">
      <c r="D298" s="104"/>
      <c r="E298" s="105"/>
      <c r="K298" s="85"/>
      <c r="L298" s="85"/>
    </row>
    <row r="299">
      <c r="D299" s="104"/>
      <c r="E299" s="105"/>
      <c r="K299" s="85"/>
      <c r="L299" s="85"/>
    </row>
    <row r="300">
      <c r="D300" s="104"/>
      <c r="E300" s="105"/>
      <c r="K300" s="85"/>
      <c r="L300" s="85"/>
    </row>
    <row r="301">
      <c r="D301" s="104"/>
      <c r="E301" s="105"/>
      <c r="K301" s="85"/>
      <c r="L301" s="85"/>
    </row>
    <row r="302">
      <c r="D302" s="104"/>
      <c r="E302" s="105"/>
      <c r="K302" s="85"/>
      <c r="L302" s="85"/>
    </row>
    <row r="303">
      <c r="D303" s="104"/>
      <c r="E303" s="105"/>
      <c r="K303" s="85"/>
      <c r="L303" s="85"/>
    </row>
    <row r="304">
      <c r="D304" s="104"/>
      <c r="E304" s="105"/>
      <c r="K304" s="85"/>
      <c r="L304" s="85"/>
    </row>
    <row r="305">
      <c r="D305" s="104"/>
      <c r="E305" s="105"/>
      <c r="K305" s="85"/>
      <c r="L305" s="85"/>
    </row>
    <row r="306">
      <c r="D306" s="104"/>
      <c r="E306" s="105"/>
      <c r="K306" s="85"/>
      <c r="L306" s="85"/>
    </row>
    <row r="307">
      <c r="D307" s="104"/>
      <c r="E307" s="105"/>
      <c r="K307" s="85"/>
      <c r="L307" s="85"/>
    </row>
    <row r="308">
      <c r="D308" s="104"/>
      <c r="E308" s="105"/>
      <c r="K308" s="85"/>
      <c r="L308" s="85"/>
    </row>
    <row r="309">
      <c r="D309" s="104"/>
      <c r="E309" s="105"/>
      <c r="K309" s="85"/>
      <c r="L309" s="85"/>
    </row>
    <row r="310">
      <c r="D310" s="104"/>
      <c r="E310" s="105"/>
      <c r="K310" s="85"/>
      <c r="L310" s="85"/>
    </row>
    <row r="311">
      <c r="D311" s="104"/>
      <c r="E311" s="105"/>
      <c r="K311" s="85"/>
      <c r="L311" s="85"/>
    </row>
    <row r="312">
      <c r="D312" s="104"/>
      <c r="E312" s="105"/>
      <c r="K312" s="85"/>
      <c r="L312" s="85"/>
    </row>
    <row r="313">
      <c r="D313" s="104"/>
      <c r="E313" s="105"/>
      <c r="K313" s="85"/>
      <c r="L313" s="85"/>
    </row>
    <row r="314">
      <c r="D314" s="104"/>
      <c r="E314" s="105"/>
      <c r="K314" s="85"/>
      <c r="L314" s="85"/>
    </row>
    <row r="315">
      <c r="D315" s="104"/>
      <c r="E315" s="105"/>
      <c r="K315" s="85"/>
      <c r="L315" s="85"/>
    </row>
    <row r="316">
      <c r="D316" s="104"/>
      <c r="E316" s="105"/>
      <c r="K316" s="85"/>
      <c r="L316" s="85"/>
    </row>
    <row r="317">
      <c r="D317" s="104"/>
      <c r="E317" s="105"/>
      <c r="K317" s="85"/>
      <c r="L317" s="85"/>
    </row>
    <row r="318">
      <c r="D318" s="104"/>
      <c r="E318" s="105"/>
      <c r="K318" s="85"/>
      <c r="L318" s="85"/>
    </row>
    <row r="319">
      <c r="D319" s="104"/>
      <c r="E319" s="105"/>
      <c r="K319" s="85"/>
      <c r="L319" s="85"/>
    </row>
    <row r="320">
      <c r="D320" s="104"/>
      <c r="E320" s="105"/>
      <c r="K320" s="85"/>
      <c r="L320" s="85"/>
    </row>
    <row r="321">
      <c r="D321" s="104"/>
      <c r="E321" s="105"/>
      <c r="K321" s="85"/>
      <c r="L321" s="85"/>
    </row>
    <row r="322">
      <c r="D322" s="104"/>
      <c r="E322" s="105"/>
      <c r="K322" s="85"/>
      <c r="L322" s="85"/>
    </row>
    <row r="323">
      <c r="D323" s="104"/>
      <c r="E323" s="105"/>
      <c r="K323" s="85"/>
      <c r="L323" s="85"/>
    </row>
    <row r="324">
      <c r="D324" s="104"/>
      <c r="E324" s="105"/>
      <c r="K324" s="85"/>
      <c r="L324" s="85"/>
    </row>
    <row r="325">
      <c r="D325" s="104"/>
      <c r="E325" s="105"/>
      <c r="K325" s="85"/>
      <c r="L325" s="85"/>
    </row>
    <row r="326">
      <c r="D326" s="104"/>
      <c r="E326" s="105"/>
      <c r="K326" s="85"/>
      <c r="L326" s="85"/>
    </row>
    <row r="327">
      <c r="D327" s="104"/>
      <c r="E327" s="105"/>
      <c r="K327" s="85"/>
      <c r="L327" s="85"/>
    </row>
    <row r="328">
      <c r="D328" s="104"/>
      <c r="E328" s="105"/>
      <c r="K328" s="85"/>
      <c r="L328" s="85"/>
    </row>
    <row r="329">
      <c r="D329" s="104"/>
      <c r="E329" s="105"/>
      <c r="K329" s="85"/>
      <c r="L329" s="85"/>
    </row>
    <row r="330">
      <c r="D330" s="104"/>
      <c r="E330" s="105"/>
      <c r="K330" s="85"/>
      <c r="L330" s="85"/>
    </row>
    <row r="331">
      <c r="D331" s="104"/>
      <c r="E331" s="105"/>
      <c r="K331" s="85"/>
      <c r="L331" s="85"/>
    </row>
    <row r="332">
      <c r="D332" s="104"/>
      <c r="E332" s="105"/>
      <c r="K332" s="85"/>
      <c r="L332" s="85"/>
    </row>
    <row r="333">
      <c r="D333" s="104"/>
      <c r="E333" s="105"/>
      <c r="K333" s="85"/>
      <c r="L333" s="85"/>
    </row>
    <row r="334">
      <c r="D334" s="104"/>
      <c r="E334" s="105"/>
      <c r="K334" s="85"/>
      <c r="L334" s="85"/>
    </row>
    <row r="335">
      <c r="D335" s="104"/>
      <c r="E335" s="105"/>
      <c r="K335" s="85"/>
      <c r="L335" s="85"/>
    </row>
    <row r="336">
      <c r="D336" s="104"/>
      <c r="E336" s="105"/>
      <c r="K336" s="85"/>
      <c r="L336" s="85"/>
    </row>
    <row r="337">
      <c r="D337" s="104"/>
      <c r="E337" s="105"/>
      <c r="K337" s="85"/>
      <c r="L337" s="85"/>
    </row>
    <row r="338">
      <c r="D338" s="104"/>
      <c r="E338" s="105"/>
      <c r="K338" s="85"/>
      <c r="L338" s="85"/>
    </row>
    <row r="339">
      <c r="D339" s="104"/>
      <c r="E339" s="105"/>
      <c r="K339" s="85"/>
      <c r="L339" s="85"/>
    </row>
    <row r="340">
      <c r="D340" s="104"/>
      <c r="E340" s="105"/>
      <c r="K340" s="85"/>
      <c r="L340" s="85"/>
    </row>
    <row r="341">
      <c r="D341" s="104"/>
      <c r="E341" s="105"/>
      <c r="K341" s="85"/>
      <c r="L341" s="85"/>
    </row>
    <row r="342">
      <c r="D342" s="104"/>
      <c r="E342" s="105"/>
      <c r="K342" s="85"/>
      <c r="L342" s="85"/>
    </row>
    <row r="343">
      <c r="D343" s="104"/>
      <c r="E343" s="105"/>
      <c r="K343" s="85"/>
      <c r="L343" s="85"/>
    </row>
    <row r="344">
      <c r="D344" s="104"/>
      <c r="E344" s="105"/>
      <c r="K344" s="85"/>
      <c r="L344" s="85"/>
    </row>
    <row r="345">
      <c r="D345" s="104"/>
      <c r="E345" s="105"/>
      <c r="K345" s="85"/>
      <c r="L345" s="85"/>
    </row>
    <row r="346">
      <c r="D346" s="104"/>
      <c r="E346" s="105"/>
      <c r="K346" s="85"/>
      <c r="L346" s="85"/>
    </row>
    <row r="347">
      <c r="D347" s="104"/>
      <c r="E347" s="105"/>
      <c r="K347" s="85"/>
      <c r="L347" s="85"/>
    </row>
    <row r="348">
      <c r="D348" s="104"/>
      <c r="E348" s="105"/>
      <c r="K348" s="85"/>
      <c r="L348" s="85"/>
    </row>
    <row r="349">
      <c r="D349" s="104"/>
      <c r="E349" s="105"/>
      <c r="K349" s="85"/>
      <c r="L349" s="85"/>
    </row>
    <row r="350">
      <c r="D350" s="104"/>
      <c r="E350" s="105"/>
      <c r="K350" s="85"/>
      <c r="L350" s="85"/>
    </row>
    <row r="351">
      <c r="D351" s="104"/>
      <c r="E351" s="105"/>
      <c r="K351" s="85"/>
      <c r="L351" s="85"/>
    </row>
    <row r="352">
      <c r="D352" s="104"/>
      <c r="E352" s="105"/>
      <c r="K352" s="85"/>
      <c r="L352" s="85"/>
    </row>
    <row r="353">
      <c r="D353" s="104"/>
      <c r="E353" s="105"/>
      <c r="K353" s="85"/>
      <c r="L353" s="85"/>
    </row>
    <row r="354">
      <c r="D354" s="104"/>
      <c r="E354" s="105"/>
      <c r="K354" s="85"/>
      <c r="L354" s="85"/>
    </row>
    <row r="355">
      <c r="D355" s="104"/>
      <c r="E355" s="105"/>
      <c r="K355" s="85"/>
      <c r="L355" s="85"/>
    </row>
    <row r="356">
      <c r="D356" s="104"/>
      <c r="E356" s="105"/>
      <c r="K356" s="85"/>
      <c r="L356" s="85"/>
    </row>
    <row r="357">
      <c r="D357" s="104"/>
      <c r="E357" s="105"/>
      <c r="K357" s="85"/>
      <c r="L357" s="85"/>
    </row>
    <row r="358">
      <c r="D358" s="104"/>
      <c r="E358" s="105"/>
      <c r="K358" s="85"/>
      <c r="L358" s="85"/>
    </row>
    <row r="359">
      <c r="D359" s="104"/>
      <c r="E359" s="105"/>
      <c r="K359" s="85"/>
      <c r="L359" s="85"/>
    </row>
    <row r="360">
      <c r="D360" s="104"/>
      <c r="E360" s="105"/>
      <c r="K360" s="85"/>
      <c r="L360" s="85"/>
    </row>
    <row r="361">
      <c r="D361" s="104"/>
      <c r="E361" s="105"/>
      <c r="K361" s="85"/>
      <c r="L361" s="85"/>
    </row>
    <row r="362">
      <c r="D362" s="104"/>
      <c r="E362" s="105"/>
      <c r="K362" s="85"/>
      <c r="L362" s="85"/>
    </row>
    <row r="363">
      <c r="D363" s="104"/>
      <c r="E363" s="105"/>
      <c r="K363" s="85"/>
      <c r="L363" s="85"/>
    </row>
    <row r="364">
      <c r="D364" s="104"/>
      <c r="E364" s="105"/>
      <c r="K364" s="85"/>
      <c r="L364" s="85"/>
    </row>
    <row r="365">
      <c r="D365" s="104"/>
      <c r="E365" s="105"/>
      <c r="K365" s="85"/>
      <c r="L365" s="85"/>
    </row>
    <row r="366">
      <c r="D366" s="104"/>
      <c r="E366" s="105"/>
      <c r="K366" s="85"/>
      <c r="L366" s="85"/>
    </row>
    <row r="367">
      <c r="D367" s="104"/>
      <c r="E367" s="105"/>
      <c r="K367" s="85"/>
      <c r="L367" s="85"/>
    </row>
    <row r="368">
      <c r="D368" s="104"/>
      <c r="E368" s="105"/>
      <c r="K368" s="85"/>
      <c r="L368" s="85"/>
    </row>
    <row r="369">
      <c r="D369" s="104"/>
      <c r="E369" s="105"/>
      <c r="K369" s="85"/>
      <c r="L369" s="85"/>
    </row>
    <row r="370">
      <c r="D370" s="104"/>
      <c r="E370" s="105"/>
      <c r="K370" s="85"/>
      <c r="L370" s="85"/>
    </row>
    <row r="371">
      <c r="D371" s="104"/>
      <c r="E371" s="105"/>
      <c r="K371" s="85"/>
      <c r="L371" s="85"/>
    </row>
    <row r="372">
      <c r="D372" s="104"/>
      <c r="E372" s="105"/>
      <c r="K372" s="85"/>
      <c r="L372" s="85"/>
    </row>
    <row r="373">
      <c r="D373" s="104"/>
      <c r="E373" s="105"/>
      <c r="K373" s="85"/>
      <c r="L373" s="85"/>
    </row>
    <row r="374">
      <c r="D374" s="104"/>
      <c r="E374" s="105"/>
      <c r="K374" s="85"/>
      <c r="L374" s="85"/>
    </row>
    <row r="375">
      <c r="D375" s="104"/>
      <c r="E375" s="105"/>
      <c r="K375" s="85"/>
      <c r="L375" s="85"/>
    </row>
    <row r="376">
      <c r="D376" s="104"/>
      <c r="E376" s="105"/>
      <c r="K376" s="85"/>
      <c r="L376" s="85"/>
    </row>
    <row r="377">
      <c r="D377" s="104"/>
      <c r="E377" s="105"/>
      <c r="K377" s="85"/>
      <c r="L377" s="85"/>
    </row>
    <row r="378">
      <c r="D378" s="104"/>
      <c r="E378" s="105"/>
      <c r="K378" s="85"/>
      <c r="L378" s="85"/>
    </row>
    <row r="379">
      <c r="D379" s="104"/>
      <c r="E379" s="105"/>
      <c r="K379" s="85"/>
      <c r="L379" s="85"/>
    </row>
    <row r="380">
      <c r="D380" s="104"/>
      <c r="E380" s="105"/>
      <c r="K380" s="85"/>
      <c r="L380" s="85"/>
    </row>
    <row r="381">
      <c r="D381" s="104"/>
      <c r="E381" s="105"/>
      <c r="K381" s="85"/>
      <c r="L381" s="85"/>
    </row>
    <row r="382">
      <c r="D382" s="104"/>
      <c r="E382" s="105"/>
      <c r="K382" s="85"/>
      <c r="L382" s="85"/>
    </row>
    <row r="383">
      <c r="D383" s="104"/>
      <c r="E383" s="105"/>
      <c r="K383" s="85"/>
      <c r="L383" s="85"/>
    </row>
    <row r="384">
      <c r="D384" s="104"/>
      <c r="E384" s="105"/>
      <c r="K384" s="85"/>
      <c r="L384" s="85"/>
    </row>
    <row r="385">
      <c r="D385" s="104"/>
      <c r="E385" s="105"/>
      <c r="K385" s="85"/>
      <c r="L385" s="85"/>
    </row>
    <row r="386">
      <c r="D386" s="104"/>
      <c r="E386" s="105"/>
      <c r="K386" s="85"/>
      <c r="L386" s="85"/>
    </row>
    <row r="387">
      <c r="D387" s="104"/>
      <c r="E387" s="105"/>
      <c r="K387" s="85"/>
      <c r="L387" s="85"/>
    </row>
    <row r="388">
      <c r="D388" s="104"/>
      <c r="E388" s="105"/>
      <c r="K388" s="85"/>
      <c r="L388" s="85"/>
    </row>
    <row r="389">
      <c r="D389" s="104"/>
      <c r="E389" s="105"/>
      <c r="K389" s="85"/>
      <c r="L389" s="85"/>
    </row>
    <row r="390">
      <c r="D390" s="104"/>
      <c r="E390" s="105"/>
      <c r="K390" s="85"/>
      <c r="L390" s="85"/>
    </row>
    <row r="391">
      <c r="D391" s="104"/>
      <c r="E391" s="105"/>
      <c r="K391" s="85"/>
      <c r="L391" s="85"/>
    </row>
    <row r="392">
      <c r="D392" s="104"/>
      <c r="E392" s="105"/>
      <c r="K392" s="85"/>
      <c r="L392" s="85"/>
    </row>
    <row r="393">
      <c r="D393" s="104"/>
      <c r="E393" s="105"/>
      <c r="K393" s="85"/>
      <c r="L393" s="85"/>
    </row>
    <row r="394">
      <c r="D394" s="104"/>
      <c r="E394" s="105"/>
      <c r="K394" s="85"/>
      <c r="L394" s="85"/>
    </row>
    <row r="395">
      <c r="D395" s="104"/>
      <c r="E395" s="105"/>
      <c r="K395" s="85"/>
      <c r="L395" s="85"/>
    </row>
    <row r="396">
      <c r="D396" s="104"/>
      <c r="E396" s="105"/>
      <c r="K396" s="85"/>
      <c r="L396" s="85"/>
    </row>
    <row r="397">
      <c r="D397" s="104"/>
      <c r="E397" s="105"/>
      <c r="K397" s="85"/>
      <c r="L397" s="85"/>
    </row>
    <row r="398">
      <c r="D398" s="104"/>
      <c r="E398" s="105"/>
      <c r="K398" s="85"/>
      <c r="L398" s="85"/>
    </row>
    <row r="399">
      <c r="D399" s="104"/>
      <c r="E399" s="105"/>
      <c r="K399" s="85"/>
      <c r="L399" s="85"/>
    </row>
    <row r="400">
      <c r="D400" s="104"/>
      <c r="E400" s="105"/>
      <c r="K400" s="85"/>
      <c r="L400" s="85"/>
    </row>
    <row r="401">
      <c r="D401" s="104"/>
      <c r="E401" s="105"/>
      <c r="K401" s="85"/>
      <c r="L401" s="85"/>
    </row>
    <row r="402">
      <c r="D402" s="104"/>
      <c r="E402" s="105"/>
      <c r="K402" s="85"/>
      <c r="L402" s="85"/>
    </row>
    <row r="403">
      <c r="D403" s="104"/>
      <c r="E403" s="105"/>
      <c r="K403" s="85"/>
      <c r="L403" s="85"/>
    </row>
    <row r="404">
      <c r="D404" s="104"/>
      <c r="E404" s="105"/>
      <c r="K404" s="85"/>
      <c r="L404" s="85"/>
    </row>
    <row r="405">
      <c r="D405" s="104"/>
      <c r="E405" s="105"/>
      <c r="K405" s="85"/>
      <c r="L405" s="85"/>
    </row>
    <row r="406">
      <c r="D406" s="104"/>
      <c r="E406" s="105"/>
      <c r="K406" s="85"/>
      <c r="L406" s="85"/>
    </row>
    <row r="407">
      <c r="D407" s="104"/>
      <c r="E407" s="105"/>
      <c r="K407" s="85"/>
      <c r="L407" s="85"/>
    </row>
    <row r="408">
      <c r="D408" s="104"/>
      <c r="E408" s="105"/>
      <c r="K408" s="85"/>
      <c r="L408" s="85"/>
    </row>
    <row r="409">
      <c r="D409" s="104"/>
      <c r="E409" s="105"/>
      <c r="K409" s="85"/>
      <c r="L409" s="85"/>
    </row>
    <row r="410">
      <c r="D410" s="104"/>
      <c r="E410" s="105"/>
      <c r="K410" s="85"/>
      <c r="L410" s="85"/>
    </row>
    <row r="411">
      <c r="D411" s="104"/>
      <c r="E411" s="105"/>
      <c r="K411" s="85"/>
      <c r="L411" s="85"/>
    </row>
    <row r="412">
      <c r="D412" s="104"/>
      <c r="E412" s="105"/>
      <c r="K412" s="85"/>
      <c r="L412" s="85"/>
    </row>
    <row r="413">
      <c r="D413" s="104"/>
      <c r="E413" s="105"/>
      <c r="K413" s="85"/>
      <c r="L413" s="85"/>
    </row>
    <row r="414">
      <c r="D414" s="104"/>
      <c r="E414" s="105"/>
      <c r="K414" s="85"/>
      <c r="L414" s="85"/>
    </row>
    <row r="415">
      <c r="D415" s="104"/>
      <c r="E415" s="105"/>
      <c r="K415" s="85"/>
      <c r="L415" s="85"/>
    </row>
    <row r="416">
      <c r="D416" s="104"/>
      <c r="E416" s="105"/>
      <c r="K416" s="85"/>
      <c r="L416" s="85"/>
    </row>
    <row r="417">
      <c r="D417" s="104"/>
      <c r="E417" s="105"/>
      <c r="K417" s="85"/>
      <c r="L417" s="85"/>
    </row>
    <row r="418">
      <c r="D418" s="104"/>
      <c r="E418" s="105"/>
      <c r="K418" s="85"/>
      <c r="L418" s="85"/>
    </row>
    <row r="419">
      <c r="D419" s="104"/>
      <c r="E419" s="105"/>
      <c r="K419" s="85"/>
      <c r="L419" s="85"/>
    </row>
    <row r="420">
      <c r="D420" s="104"/>
      <c r="E420" s="105"/>
      <c r="K420" s="85"/>
      <c r="L420" s="85"/>
    </row>
    <row r="421">
      <c r="D421" s="104"/>
      <c r="E421" s="105"/>
      <c r="K421" s="85"/>
      <c r="L421" s="85"/>
    </row>
    <row r="422">
      <c r="D422" s="104"/>
      <c r="E422" s="105"/>
      <c r="K422" s="85"/>
      <c r="L422" s="85"/>
    </row>
    <row r="423">
      <c r="D423" s="104"/>
      <c r="E423" s="105"/>
      <c r="K423" s="85"/>
      <c r="L423" s="85"/>
    </row>
    <row r="424">
      <c r="D424" s="104"/>
      <c r="E424" s="105"/>
      <c r="K424" s="85"/>
      <c r="L424" s="85"/>
    </row>
    <row r="425">
      <c r="D425" s="104"/>
      <c r="E425" s="105"/>
      <c r="K425" s="85"/>
      <c r="L425" s="85"/>
    </row>
    <row r="426">
      <c r="D426" s="104"/>
      <c r="E426" s="105"/>
      <c r="K426" s="85"/>
      <c r="L426" s="85"/>
    </row>
    <row r="427">
      <c r="D427" s="104"/>
      <c r="E427" s="105"/>
      <c r="K427" s="85"/>
      <c r="L427" s="85"/>
    </row>
    <row r="428">
      <c r="D428" s="104"/>
      <c r="E428" s="105"/>
      <c r="K428" s="85"/>
      <c r="L428" s="85"/>
    </row>
    <row r="429">
      <c r="D429" s="104"/>
      <c r="E429" s="105"/>
      <c r="K429" s="85"/>
      <c r="L429" s="85"/>
    </row>
    <row r="430">
      <c r="D430" s="104"/>
      <c r="E430" s="105"/>
      <c r="K430" s="85"/>
      <c r="L430" s="85"/>
    </row>
    <row r="431">
      <c r="D431" s="104"/>
      <c r="E431" s="105"/>
      <c r="K431" s="85"/>
      <c r="L431" s="85"/>
    </row>
    <row r="432">
      <c r="D432" s="104"/>
      <c r="E432" s="105"/>
      <c r="K432" s="85"/>
      <c r="L432" s="85"/>
    </row>
    <row r="433">
      <c r="D433" s="104"/>
      <c r="E433" s="105"/>
      <c r="K433" s="85"/>
      <c r="L433" s="85"/>
    </row>
    <row r="434">
      <c r="D434" s="104"/>
      <c r="E434" s="105"/>
      <c r="K434" s="85"/>
      <c r="L434" s="85"/>
    </row>
    <row r="435">
      <c r="D435" s="104"/>
      <c r="E435" s="105"/>
      <c r="K435" s="85"/>
      <c r="L435" s="85"/>
    </row>
    <row r="436">
      <c r="D436" s="104"/>
      <c r="E436" s="105"/>
      <c r="K436" s="85"/>
      <c r="L436" s="85"/>
    </row>
    <row r="437">
      <c r="D437" s="104"/>
      <c r="E437" s="105"/>
      <c r="K437" s="85"/>
      <c r="L437" s="85"/>
    </row>
    <row r="438">
      <c r="D438" s="104"/>
      <c r="E438" s="105"/>
      <c r="K438" s="85"/>
      <c r="L438" s="85"/>
    </row>
    <row r="439">
      <c r="D439" s="104"/>
      <c r="E439" s="105"/>
      <c r="K439" s="85"/>
      <c r="L439" s="85"/>
    </row>
    <row r="440">
      <c r="D440" s="104"/>
      <c r="E440" s="105"/>
      <c r="K440" s="85"/>
      <c r="L440" s="85"/>
    </row>
    <row r="441">
      <c r="D441" s="104"/>
      <c r="E441" s="105"/>
      <c r="K441" s="85"/>
      <c r="L441" s="85"/>
    </row>
    <row r="442">
      <c r="D442" s="104"/>
      <c r="E442" s="105"/>
      <c r="K442" s="85"/>
      <c r="L442" s="85"/>
    </row>
    <row r="443">
      <c r="D443" s="104"/>
      <c r="E443" s="105"/>
      <c r="K443" s="85"/>
      <c r="L443" s="85"/>
    </row>
    <row r="444">
      <c r="D444" s="104"/>
      <c r="E444" s="105"/>
      <c r="K444" s="85"/>
      <c r="L444" s="85"/>
    </row>
    <row r="445">
      <c r="D445" s="104"/>
      <c r="E445" s="105"/>
      <c r="K445" s="85"/>
      <c r="L445" s="85"/>
    </row>
    <row r="446">
      <c r="D446" s="104"/>
      <c r="E446" s="105"/>
      <c r="K446" s="85"/>
      <c r="L446" s="85"/>
    </row>
    <row r="447">
      <c r="D447" s="104"/>
      <c r="E447" s="105"/>
      <c r="K447" s="85"/>
      <c r="L447" s="85"/>
    </row>
    <row r="448">
      <c r="D448" s="104"/>
      <c r="E448" s="105"/>
      <c r="K448" s="85"/>
      <c r="L448" s="85"/>
    </row>
    <row r="449">
      <c r="D449" s="104"/>
      <c r="E449" s="105"/>
      <c r="K449" s="85"/>
      <c r="L449" s="85"/>
    </row>
    <row r="450">
      <c r="D450" s="104"/>
      <c r="E450" s="105"/>
      <c r="K450" s="85"/>
      <c r="L450" s="85"/>
    </row>
    <row r="451">
      <c r="D451" s="104"/>
      <c r="E451" s="105"/>
      <c r="K451" s="85"/>
      <c r="L451" s="85"/>
    </row>
    <row r="452">
      <c r="D452" s="104"/>
      <c r="E452" s="105"/>
      <c r="K452" s="85"/>
      <c r="L452" s="85"/>
    </row>
    <row r="453">
      <c r="D453" s="104"/>
      <c r="E453" s="105"/>
      <c r="K453" s="85"/>
      <c r="L453" s="85"/>
    </row>
    <row r="454">
      <c r="D454" s="104"/>
      <c r="E454" s="105"/>
      <c r="K454" s="85"/>
      <c r="L454" s="85"/>
    </row>
    <row r="455">
      <c r="D455" s="104"/>
      <c r="E455" s="105"/>
      <c r="K455" s="85"/>
      <c r="L455" s="85"/>
    </row>
    <row r="456">
      <c r="D456" s="104"/>
      <c r="E456" s="105"/>
      <c r="K456" s="85"/>
      <c r="L456" s="85"/>
    </row>
    <row r="457">
      <c r="D457" s="104"/>
      <c r="E457" s="105"/>
      <c r="K457" s="85"/>
      <c r="L457" s="85"/>
    </row>
    <row r="458">
      <c r="D458" s="104"/>
      <c r="E458" s="105"/>
      <c r="K458" s="85"/>
      <c r="L458" s="85"/>
    </row>
    <row r="459">
      <c r="D459" s="104"/>
      <c r="E459" s="105"/>
      <c r="K459" s="85"/>
      <c r="L459" s="85"/>
    </row>
    <row r="460">
      <c r="D460" s="104"/>
      <c r="E460" s="105"/>
      <c r="K460" s="85"/>
      <c r="L460" s="85"/>
    </row>
    <row r="461">
      <c r="D461" s="104"/>
      <c r="E461" s="105"/>
      <c r="K461" s="85"/>
      <c r="L461" s="85"/>
    </row>
    <row r="462">
      <c r="D462" s="104"/>
      <c r="E462" s="105"/>
      <c r="K462" s="85"/>
      <c r="L462" s="85"/>
    </row>
    <row r="463">
      <c r="D463" s="104"/>
      <c r="E463" s="105"/>
      <c r="K463" s="85"/>
      <c r="L463" s="85"/>
    </row>
    <row r="464">
      <c r="D464" s="104"/>
      <c r="E464" s="105"/>
      <c r="K464" s="85"/>
      <c r="L464" s="85"/>
    </row>
    <row r="465">
      <c r="D465" s="104"/>
      <c r="E465" s="105"/>
      <c r="K465" s="85"/>
      <c r="L465" s="85"/>
    </row>
    <row r="466">
      <c r="D466" s="104"/>
      <c r="E466" s="105"/>
      <c r="K466" s="85"/>
      <c r="L466" s="85"/>
    </row>
    <row r="467">
      <c r="D467" s="104"/>
      <c r="E467" s="105"/>
      <c r="K467" s="85"/>
      <c r="L467" s="85"/>
    </row>
    <row r="468">
      <c r="D468" s="104"/>
      <c r="E468" s="105"/>
      <c r="K468" s="85"/>
      <c r="L468" s="85"/>
    </row>
    <row r="469">
      <c r="D469" s="104"/>
      <c r="E469" s="105"/>
      <c r="K469" s="85"/>
      <c r="L469" s="85"/>
    </row>
    <row r="470">
      <c r="D470" s="104"/>
      <c r="E470" s="105"/>
      <c r="K470" s="85"/>
      <c r="L470" s="85"/>
    </row>
    <row r="471">
      <c r="D471" s="104"/>
      <c r="E471" s="105"/>
      <c r="K471" s="85"/>
      <c r="L471" s="85"/>
    </row>
    <row r="472">
      <c r="D472" s="104"/>
      <c r="E472" s="105"/>
      <c r="K472" s="85"/>
      <c r="L472" s="85"/>
    </row>
    <row r="473">
      <c r="D473" s="104"/>
      <c r="E473" s="105"/>
      <c r="K473" s="85"/>
      <c r="L473" s="85"/>
    </row>
    <row r="474">
      <c r="D474" s="104"/>
      <c r="E474" s="105"/>
      <c r="K474" s="85"/>
      <c r="L474" s="85"/>
    </row>
    <row r="475">
      <c r="D475" s="104"/>
      <c r="E475" s="105"/>
      <c r="K475" s="85"/>
      <c r="L475" s="85"/>
    </row>
    <row r="476">
      <c r="D476" s="104"/>
      <c r="E476" s="105"/>
      <c r="K476" s="85"/>
      <c r="L476" s="85"/>
    </row>
    <row r="477">
      <c r="D477" s="104"/>
      <c r="E477" s="105"/>
      <c r="K477" s="85"/>
      <c r="L477" s="85"/>
    </row>
    <row r="478">
      <c r="D478" s="104"/>
      <c r="E478" s="105"/>
      <c r="K478" s="85"/>
      <c r="L478" s="85"/>
    </row>
    <row r="479">
      <c r="D479" s="104"/>
      <c r="E479" s="105"/>
      <c r="K479" s="85"/>
      <c r="L479" s="85"/>
    </row>
    <row r="480">
      <c r="D480" s="104"/>
      <c r="E480" s="105"/>
      <c r="K480" s="85"/>
      <c r="L480" s="85"/>
    </row>
    <row r="481">
      <c r="D481" s="104"/>
      <c r="E481" s="105"/>
      <c r="K481" s="85"/>
      <c r="L481" s="85"/>
    </row>
    <row r="482">
      <c r="D482" s="104"/>
      <c r="E482" s="105"/>
      <c r="K482" s="85"/>
      <c r="L482" s="85"/>
    </row>
    <row r="483">
      <c r="D483" s="104"/>
      <c r="E483" s="105"/>
      <c r="K483" s="85"/>
      <c r="L483" s="85"/>
    </row>
    <row r="484">
      <c r="D484" s="104"/>
      <c r="E484" s="105"/>
      <c r="K484" s="85"/>
      <c r="L484" s="85"/>
    </row>
    <row r="485">
      <c r="D485" s="104"/>
      <c r="E485" s="105"/>
      <c r="K485" s="85"/>
      <c r="L485" s="85"/>
    </row>
    <row r="486">
      <c r="D486" s="104"/>
      <c r="E486" s="105"/>
      <c r="K486" s="85"/>
      <c r="L486" s="85"/>
    </row>
    <row r="487">
      <c r="D487" s="104"/>
      <c r="E487" s="105"/>
      <c r="K487" s="85"/>
      <c r="L487" s="85"/>
    </row>
    <row r="488">
      <c r="D488" s="104"/>
      <c r="E488" s="105"/>
      <c r="K488" s="85"/>
      <c r="L488" s="85"/>
    </row>
    <row r="489">
      <c r="D489" s="104"/>
      <c r="E489" s="105"/>
      <c r="K489" s="85"/>
      <c r="L489" s="85"/>
    </row>
    <row r="490">
      <c r="D490" s="104"/>
      <c r="E490" s="105"/>
      <c r="K490" s="85"/>
      <c r="L490" s="85"/>
    </row>
    <row r="491">
      <c r="D491" s="104"/>
      <c r="E491" s="105"/>
      <c r="K491" s="85"/>
      <c r="L491" s="85"/>
    </row>
    <row r="492">
      <c r="D492" s="104"/>
      <c r="E492" s="105"/>
      <c r="K492" s="85"/>
      <c r="L492" s="85"/>
    </row>
    <row r="493">
      <c r="D493" s="104"/>
      <c r="E493" s="105"/>
      <c r="K493" s="85"/>
      <c r="L493" s="85"/>
    </row>
    <row r="494">
      <c r="D494" s="104"/>
      <c r="E494" s="105"/>
      <c r="K494" s="85"/>
      <c r="L494" s="85"/>
    </row>
    <row r="495">
      <c r="D495" s="104"/>
      <c r="E495" s="105"/>
      <c r="K495" s="85"/>
      <c r="L495" s="85"/>
    </row>
    <row r="496">
      <c r="D496" s="104"/>
      <c r="E496" s="105"/>
      <c r="K496" s="85"/>
      <c r="L496" s="85"/>
    </row>
    <row r="497">
      <c r="D497" s="104"/>
      <c r="E497" s="105"/>
      <c r="K497" s="85"/>
      <c r="L497" s="85"/>
    </row>
    <row r="498">
      <c r="D498" s="104"/>
      <c r="E498" s="105"/>
      <c r="K498" s="85"/>
      <c r="L498" s="85"/>
    </row>
    <row r="499">
      <c r="D499" s="104"/>
      <c r="E499" s="105"/>
      <c r="K499" s="85"/>
      <c r="L499" s="85"/>
    </row>
    <row r="500">
      <c r="D500" s="104"/>
      <c r="E500" s="105"/>
      <c r="K500" s="85"/>
      <c r="L500" s="85"/>
    </row>
    <row r="501">
      <c r="D501" s="104"/>
      <c r="E501" s="105"/>
      <c r="K501" s="85"/>
      <c r="L501" s="85"/>
    </row>
    <row r="502">
      <c r="D502" s="104"/>
      <c r="E502" s="105"/>
      <c r="K502" s="85"/>
      <c r="L502" s="85"/>
    </row>
    <row r="503">
      <c r="D503" s="104"/>
      <c r="E503" s="105"/>
      <c r="K503" s="85"/>
      <c r="L503" s="85"/>
    </row>
    <row r="504">
      <c r="D504" s="104"/>
      <c r="E504" s="105"/>
      <c r="K504" s="85"/>
      <c r="L504" s="85"/>
    </row>
    <row r="505">
      <c r="D505" s="104"/>
      <c r="E505" s="105"/>
      <c r="K505" s="85"/>
      <c r="L505" s="85"/>
    </row>
    <row r="506">
      <c r="D506" s="104"/>
      <c r="E506" s="105"/>
      <c r="K506" s="85"/>
      <c r="L506" s="85"/>
    </row>
    <row r="507">
      <c r="D507" s="104"/>
      <c r="E507" s="105"/>
      <c r="K507" s="85"/>
      <c r="L507" s="85"/>
    </row>
    <row r="508">
      <c r="D508" s="104"/>
      <c r="E508" s="105"/>
      <c r="K508" s="85"/>
      <c r="L508" s="85"/>
    </row>
    <row r="509">
      <c r="D509" s="104"/>
      <c r="E509" s="105"/>
      <c r="K509" s="85"/>
      <c r="L509" s="85"/>
    </row>
    <row r="510">
      <c r="D510" s="104"/>
      <c r="E510" s="105"/>
      <c r="K510" s="85"/>
      <c r="L510" s="85"/>
    </row>
    <row r="511">
      <c r="D511" s="104"/>
      <c r="E511" s="105"/>
      <c r="K511" s="85"/>
      <c r="L511" s="85"/>
    </row>
    <row r="512">
      <c r="D512" s="104"/>
      <c r="E512" s="105"/>
      <c r="K512" s="85"/>
      <c r="L512" s="85"/>
    </row>
    <row r="513">
      <c r="D513" s="104"/>
      <c r="E513" s="105"/>
      <c r="K513" s="85"/>
      <c r="L513" s="85"/>
    </row>
    <row r="514">
      <c r="D514" s="104"/>
      <c r="E514" s="105"/>
      <c r="K514" s="85"/>
      <c r="L514" s="85"/>
    </row>
    <row r="515">
      <c r="D515" s="104"/>
      <c r="E515" s="105"/>
      <c r="K515" s="85"/>
      <c r="L515" s="85"/>
    </row>
    <row r="516">
      <c r="D516" s="104"/>
      <c r="E516" s="105"/>
      <c r="K516" s="85"/>
      <c r="L516" s="85"/>
    </row>
    <row r="517">
      <c r="D517" s="104"/>
      <c r="E517" s="105"/>
      <c r="K517" s="85"/>
      <c r="L517" s="85"/>
    </row>
    <row r="518">
      <c r="D518" s="104"/>
      <c r="E518" s="105"/>
      <c r="K518" s="85"/>
      <c r="L518" s="85"/>
    </row>
    <row r="519">
      <c r="D519" s="104"/>
      <c r="E519" s="105"/>
      <c r="K519" s="85"/>
      <c r="L519" s="85"/>
    </row>
    <row r="520">
      <c r="D520" s="104"/>
      <c r="E520" s="105"/>
      <c r="K520" s="85"/>
      <c r="L520" s="85"/>
    </row>
    <row r="521">
      <c r="D521" s="104"/>
      <c r="E521" s="105"/>
      <c r="K521" s="85"/>
      <c r="L521" s="85"/>
    </row>
    <row r="522">
      <c r="D522" s="104"/>
      <c r="E522" s="105"/>
      <c r="K522" s="85"/>
      <c r="L522" s="85"/>
    </row>
    <row r="523">
      <c r="D523" s="104"/>
      <c r="E523" s="105"/>
      <c r="K523" s="85"/>
      <c r="L523" s="85"/>
    </row>
    <row r="524">
      <c r="D524" s="104"/>
      <c r="E524" s="105"/>
      <c r="K524" s="85"/>
      <c r="L524" s="85"/>
    </row>
    <row r="525">
      <c r="D525" s="104"/>
      <c r="E525" s="105"/>
      <c r="K525" s="85"/>
      <c r="L525" s="85"/>
    </row>
    <row r="526">
      <c r="D526" s="104"/>
      <c r="E526" s="105"/>
      <c r="K526" s="85"/>
      <c r="L526" s="85"/>
    </row>
    <row r="527">
      <c r="D527" s="104"/>
      <c r="E527" s="105"/>
      <c r="K527" s="85"/>
      <c r="L527" s="85"/>
    </row>
    <row r="528">
      <c r="D528" s="104"/>
      <c r="E528" s="105"/>
      <c r="K528" s="85"/>
      <c r="L528" s="85"/>
    </row>
    <row r="529">
      <c r="D529" s="104"/>
      <c r="E529" s="105"/>
      <c r="K529" s="85"/>
      <c r="L529" s="85"/>
    </row>
    <row r="530">
      <c r="D530" s="104"/>
      <c r="E530" s="105"/>
      <c r="K530" s="85"/>
      <c r="L530" s="85"/>
    </row>
    <row r="531">
      <c r="D531" s="104"/>
      <c r="E531" s="105"/>
      <c r="K531" s="85"/>
      <c r="L531" s="85"/>
    </row>
    <row r="532">
      <c r="D532" s="104"/>
      <c r="E532" s="105"/>
      <c r="K532" s="85"/>
      <c r="L532" s="85"/>
    </row>
    <row r="533">
      <c r="D533" s="104"/>
      <c r="E533" s="105"/>
      <c r="K533" s="85"/>
      <c r="L533" s="85"/>
    </row>
    <row r="534">
      <c r="D534" s="104"/>
      <c r="E534" s="105"/>
      <c r="K534" s="85"/>
      <c r="L534" s="85"/>
    </row>
    <row r="535">
      <c r="D535" s="104"/>
      <c r="E535" s="105"/>
      <c r="K535" s="85"/>
      <c r="L535" s="85"/>
    </row>
    <row r="536">
      <c r="D536" s="104"/>
      <c r="E536" s="105"/>
      <c r="K536" s="85"/>
      <c r="L536" s="85"/>
    </row>
    <row r="537">
      <c r="D537" s="104"/>
      <c r="E537" s="105"/>
      <c r="K537" s="85"/>
      <c r="L537" s="85"/>
    </row>
    <row r="538">
      <c r="D538" s="104"/>
      <c r="E538" s="105"/>
      <c r="K538" s="85"/>
      <c r="L538" s="85"/>
    </row>
    <row r="539">
      <c r="D539" s="104"/>
      <c r="E539" s="105"/>
      <c r="K539" s="85"/>
      <c r="L539" s="85"/>
    </row>
    <row r="540">
      <c r="D540" s="104"/>
      <c r="E540" s="105"/>
      <c r="K540" s="85"/>
      <c r="L540" s="85"/>
    </row>
    <row r="541">
      <c r="D541" s="104"/>
      <c r="E541" s="105"/>
      <c r="K541" s="85"/>
      <c r="L541" s="85"/>
    </row>
    <row r="542">
      <c r="D542" s="104"/>
      <c r="E542" s="105"/>
      <c r="K542" s="85"/>
      <c r="L542" s="85"/>
    </row>
    <row r="543">
      <c r="D543" s="104"/>
      <c r="E543" s="105"/>
      <c r="K543" s="85"/>
      <c r="L543" s="85"/>
    </row>
    <row r="544">
      <c r="D544" s="104"/>
      <c r="E544" s="105"/>
      <c r="K544" s="85"/>
      <c r="L544" s="85"/>
    </row>
    <row r="545">
      <c r="D545" s="104"/>
      <c r="E545" s="105"/>
      <c r="K545" s="85"/>
      <c r="L545" s="85"/>
    </row>
    <row r="546">
      <c r="D546" s="104"/>
      <c r="E546" s="105"/>
      <c r="K546" s="85"/>
      <c r="L546" s="85"/>
    </row>
    <row r="547">
      <c r="D547" s="104"/>
      <c r="E547" s="105"/>
      <c r="K547" s="85"/>
      <c r="L547" s="85"/>
    </row>
    <row r="548">
      <c r="D548" s="104"/>
      <c r="E548" s="105"/>
      <c r="K548" s="85"/>
      <c r="L548" s="85"/>
    </row>
    <row r="549">
      <c r="D549" s="104"/>
      <c r="E549" s="105"/>
      <c r="K549" s="85"/>
      <c r="L549" s="85"/>
    </row>
    <row r="550">
      <c r="D550" s="104"/>
      <c r="E550" s="105"/>
      <c r="K550" s="85"/>
      <c r="L550" s="85"/>
    </row>
    <row r="551">
      <c r="D551" s="104"/>
      <c r="E551" s="105"/>
      <c r="K551" s="85"/>
      <c r="L551" s="85"/>
    </row>
    <row r="552">
      <c r="D552" s="104"/>
      <c r="E552" s="105"/>
      <c r="K552" s="85"/>
      <c r="L552" s="85"/>
    </row>
    <row r="553">
      <c r="D553" s="104"/>
      <c r="E553" s="105"/>
      <c r="K553" s="85"/>
      <c r="L553" s="85"/>
    </row>
    <row r="554">
      <c r="D554" s="104"/>
      <c r="E554" s="105"/>
      <c r="K554" s="85"/>
      <c r="L554" s="85"/>
    </row>
    <row r="555">
      <c r="D555" s="104"/>
      <c r="E555" s="105"/>
      <c r="K555" s="85"/>
      <c r="L555" s="85"/>
    </row>
    <row r="556">
      <c r="D556" s="104"/>
      <c r="E556" s="105"/>
      <c r="K556" s="85"/>
      <c r="L556" s="85"/>
    </row>
    <row r="557">
      <c r="D557" s="104"/>
      <c r="E557" s="105"/>
      <c r="K557" s="85"/>
      <c r="L557" s="85"/>
    </row>
    <row r="558">
      <c r="D558" s="104"/>
      <c r="E558" s="105"/>
      <c r="K558" s="85"/>
      <c r="L558" s="85"/>
    </row>
    <row r="559">
      <c r="D559" s="104"/>
      <c r="E559" s="105"/>
      <c r="K559" s="85"/>
      <c r="L559" s="85"/>
    </row>
    <row r="560">
      <c r="D560" s="104"/>
      <c r="E560" s="105"/>
      <c r="K560" s="85"/>
      <c r="L560" s="85"/>
    </row>
    <row r="561">
      <c r="D561" s="104"/>
      <c r="E561" s="105"/>
      <c r="K561" s="85"/>
      <c r="L561" s="85"/>
    </row>
    <row r="562">
      <c r="D562" s="104"/>
      <c r="E562" s="105"/>
      <c r="K562" s="85"/>
      <c r="L562" s="85"/>
    </row>
    <row r="563">
      <c r="D563" s="104"/>
      <c r="E563" s="105"/>
      <c r="K563" s="85"/>
      <c r="L563" s="85"/>
    </row>
    <row r="564">
      <c r="D564" s="104"/>
      <c r="E564" s="105"/>
      <c r="K564" s="85"/>
      <c r="L564" s="85"/>
    </row>
    <row r="565">
      <c r="D565" s="104"/>
      <c r="E565" s="105"/>
      <c r="K565" s="85"/>
      <c r="L565" s="85"/>
    </row>
    <row r="566">
      <c r="D566" s="104"/>
      <c r="E566" s="105"/>
      <c r="K566" s="85"/>
      <c r="L566" s="85"/>
    </row>
    <row r="567">
      <c r="D567" s="104"/>
      <c r="E567" s="105"/>
      <c r="K567" s="85"/>
      <c r="L567" s="85"/>
    </row>
    <row r="568">
      <c r="D568" s="104"/>
      <c r="E568" s="105"/>
      <c r="K568" s="85"/>
      <c r="L568" s="85"/>
    </row>
    <row r="569">
      <c r="D569" s="104"/>
      <c r="E569" s="105"/>
      <c r="K569" s="85"/>
      <c r="L569" s="85"/>
    </row>
    <row r="570">
      <c r="D570" s="104"/>
      <c r="E570" s="105"/>
      <c r="K570" s="85"/>
      <c r="L570" s="85"/>
    </row>
    <row r="571">
      <c r="D571" s="104"/>
      <c r="E571" s="105"/>
      <c r="K571" s="85"/>
      <c r="L571" s="85"/>
    </row>
    <row r="572">
      <c r="D572" s="104"/>
      <c r="E572" s="105"/>
      <c r="K572" s="85"/>
      <c r="L572" s="85"/>
    </row>
    <row r="573">
      <c r="D573" s="104"/>
      <c r="E573" s="105"/>
      <c r="K573" s="85"/>
      <c r="L573" s="85"/>
    </row>
    <row r="574">
      <c r="D574" s="104"/>
      <c r="E574" s="105"/>
      <c r="K574" s="85"/>
      <c r="L574" s="85"/>
    </row>
    <row r="575">
      <c r="D575" s="104"/>
      <c r="E575" s="105"/>
      <c r="K575" s="85"/>
      <c r="L575" s="85"/>
    </row>
    <row r="576">
      <c r="D576" s="104"/>
      <c r="E576" s="105"/>
      <c r="K576" s="85"/>
      <c r="L576" s="85"/>
    </row>
    <row r="577">
      <c r="D577" s="104"/>
      <c r="E577" s="105"/>
      <c r="K577" s="85"/>
      <c r="L577" s="85"/>
    </row>
    <row r="578">
      <c r="D578" s="104"/>
      <c r="E578" s="105"/>
      <c r="K578" s="85"/>
      <c r="L578" s="85"/>
    </row>
    <row r="579">
      <c r="D579" s="104"/>
      <c r="E579" s="105"/>
      <c r="K579" s="85"/>
      <c r="L579" s="85"/>
    </row>
    <row r="580">
      <c r="D580" s="104"/>
      <c r="E580" s="105"/>
      <c r="K580" s="85"/>
      <c r="L580" s="85"/>
    </row>
    <row r="581">
      <c r="D581" s="104"/>
      <c r="E581" s="105"/>
      <c r="K581" s="85"/>
      <c r="L581" s="85"/>
    </row>
    <row r="582">
      <c r="D582" s="104"/>
      <c r="E582" s="105"/>
      <c r="K582" s="85"/>
      <c r="L582" s="85"/>
    </row>
    <row r="583">
      <c r="D583" s="104"/>
      <c r="E583" s="105"/>
      <c r="K583" s="85"/>
      <c r="L583" s="85"/>
    </row>
    <row r="584">
      <c r="D584" s="104"/>
      <c r="E584" s="105"/>
      <c r="K584" s="85"/>
      <c r="L584" s="85"/>
    </row>
    <row r="585">
      <c r="D585" s="104"/>
      <c r="E585" s="105"/>
      <c r="K585" s="85"/>
      <c r="L585" s="85"/>
    </row>
    <row r="586">
      <c r="D586" s="104"/>
      <c r="E586" s="105"/>
      <c r="K586" s="85"/>
      <c r="L586" s="85"/>
    </row>
    <row r="587">
      <c r="D587" s="104"/>
      <c r="E587" s="105"/>
      <c r="K587" s="85"/>
      <c r="L587" s="85"/>
    </row>
    <row r="588">
      <c r="D588" s="104"/>
      <c r="E588" s="105"/>
      <c r="K588" s="85"/>
      <c r="L588" s="85"/>
    </row>
    <row r="589">
      <c r="D589" s="104"/>
      <c r="E589" s="105"/>
      <c r="K589" s="85"/>
      <c r="L589" s="85"/>
    </row>
    <row r="590">
      <c r="D590" s="104"/>
      <c r="E590" s="105"/>
      <c r="K590" s="85"/>
      <c r="L590" s="85"/>
    </row>
    <row r="591">
      <c r="D591" s="104"/>
      <c r="E591" s="105"/>
      <c r="K591" s="85"/>
      <c r="L591" s="85"/>
    </row>
    <row r="592">
      <c r="D592" s="104"/>
      <c r="E592" s="105"/>
      <c r="K592" s="85"/>
      <c r="L592" s="85"/>
    </row>
    <row r="593">
      <c r="D593" s="104"/>
      <c r="E593" s="105"/>
      <c r="K593" s="85"/>
      <c r="L593" s="85"/>
    </row>
    <row r="594">
      <c r="D594" s="104"/>
      <c r="E594" s="105"/>
      <c r="K594" s="85"/>
      <c r="L594" s="85"/>
    </row>
    <row r="595">
      <c r="D595" s="104"/>
      <c r="E595" s="105"/>
      <c r="K595" s="85"/>
      <c r="L595" s="85"/>
    </row>
    <row r="596">
      <c r="D596" s="104"/>
      <c r="E596" s="105"/>
      <c r="K596" s="85"/>
      <c r="L596" s="85"/>
    </row>
    <row r="597">
      <c r="D597" s="104"/>
      <c r="E597" s="105"/>
      <c r="K597" s="85"/>
      <c r="L597" s="85"/>
    </row>
    <row r="598">
      <c r="D598" s="104"/>
      <c r="E598" s="105"/>
      <c r="K598" s="85"/>
      <c r="L598" s="85"/>
    </row>
    <row r="599">
      <c r="D599" s="104"/>
      <c r="E599" s="105"/>
      <c r="K599" s="85"/>
      <c r="L599" s="85"/>
    </row>
    <row r="600">
      <c r="D600" s="104"/>
      <c r="E600" s="105"/>
      <c r="K600" s="85"/>
      <c r="L600" s="85"/>
    </row>
    <row r="601">
      <c r="D601" s="104"/>
      <c r="E601" s="105"/>
      <c r="K601" s="85"/>
      <c r="L601" s="85"/>
    </row>
    <row r="602">
      <c r="D602" s="104"/>
      <c r="E602" s="105"/>
      <c r="K602" s="85"/>
      <c r="L602" s="85"/>
    </row>
    <row r="603">
      <c r="D603" s="104"/>
      <c r="E603" s="105"/>
      <c r="K603" s="85"/>
      <c r="L603" s="85"/>
    </row>
    <row r="604">
      <c r="D604" s="104"/>
      <c r="E604" s="105"/>
      <c r="K604" s="85"/>
      <c r="L604" s="85"/>
    </row>
    <row r="605">
      <c r="D605" s="104"/>
      <c r="E605" s="105"/>
      <c r="K605" s="85"/>
      <c r="L605" s="85"/>
    </row>
    <row r="606">
      <c r="D606" s="104"/>
      <c r="E606" s="105"/>
      <c r="K606" s="85"/>
      <c r="L606" s="85"/>
    </row>
    <row r="607">
      <c r="D607" s="104"/>
      <c r="E607" s="105"/>
      <c r="K607" s="85"/>
      <c r="L607" s="85"/>
    </row>
    <row r="608">
      <c r="D608" s="104"/>
      <c r="E608" s="105"/>
      <c r="K608" s="85"/>
      <c r="L608" s="85"/>
    </row>
    <row r="609">
      <c r="D609" s="104"/>
      <c r="E609" s="105"/>
      <c r="K609" s="85"/>
      <c r="L609" s="85"/>
    </row>
    <row r="610">
      <c r="D610" s="104"/>
      <c r="E610" s="105"/>
      <c r="K610" s="85"/>
      <c r="L610" s="85"/>
    </row>
    <row r="611">
      <c r="D611" s="104"/>
      <c r="E611" s="105"/>
      <c r="K611" s="85"/>
      <c r="L611" s="85"/>
    </row>
    <row r="612">
      <c r="D612" s="104"/>
      <c r="E612" s="105"/>
      <c r="K612" s="85"/>
      <c r="L612" s="85"/>
    </row>
    <row r="613">
      <c r="D613" s="104"/>
      <c r="E613" s="105"/>
      <c r="K613" s="85"/>
      <c r="L613" s="85"/>
    </row>
    <row r="614">
      <c r="D614" s="104"/>
      <c r="E614" s="105"/>
      <c r="K614" s="85"/>
      <c r="L614" s="85"/>
    </row>
    <row r="615">
      <c r="D615" s="104"/>
      <c r="E615" s="105"/>
      <c r="K615" s="85"/>
      <c r="L615" s="85"/>
    </row>
    <row r="616">
      <c r="D616" s="104"/>
      <c r="E616" s="105"/>
      <c r="K616" s="85"/>
      <c r="L616" s="85"/>
    </row>
    <row r="617">
      <c r="D617" s="104"/>
      <c r="E617" s="105"/>
      <c r="K617" s="85"/>
      <c r="L617" s="85"/>
    </row>
    <row r="618">
      <c r="D618" s="104"/>
      <c r="E618" s="105"/>
      <c r="K618" s="85"/>
      <c r="L618" s="85"/>
    </row>
    <row r="619">
      <c r="D619" s="104"/>
      <c r="E619" s="105"/>
      <c r="K619" s="85"/>
      <c r="L619" s="85"/>
    </row>
    <row r="620">
      <c r="D620" s="104"/>
      <c r="E620" s="105"/>
      <c r="K620" s="85"/>
      <c r="L620" s="85"/>
    </row>
    <row r="621">
      <c r="D621" s="104"/>
      <c r="E621" s="105"/>
      <c r="K621" s="85"/>
      <c r="L621" s="85"/>
    </row>
    <row r="622">
      <c r="D622" s="104"/>
      <c r="E622" s="105"/>
      <c r="K622" s="85"/>
      <c r="L622" s="85"/>
    </row>
    <row r="623">
      <c r="D623" s="104"/>
      <c r="E623" s="105"/>
      <c r="K623" s="85"/>
      <c r="L623" s="85"/>
    </row>
    <row r="624">
      <c r="D624" s="104"/>
      <c r="E624" s="105"/>
      <c r="K624" s="85"/>
      <c r="L624" s="85"/>
    </row>
    <row r="625">
      <c r="D625" s="104"/>
      <c r="E625" s="105"/>
      <c r="K625" s="85"/>
      <c r="L625" s="85"/>
    </row>
    <row r="626">
      <c r="D626" s="104"/>
      <c r="E626" s="105"/>
      <c r="K626" s="85"/>
      <c r="L626" s="85"/>
    </row>
    <row r="627">
      <c r="D627" s="104"/>
      <c r="E627" s="105"/>
      <c r="K627" s="85"/>
      <c r="L627" s="85"/>
    </row>
    <row r="628">
      <c r="D628" s="104"/>
      <c r="E628" s="105"/>
      <c r="K628" s="85"/>
      <c r="L628" s="85"/>
    </row>
    <row r="629">
      <c r="D629" s="104"/>
      <c r="E629" s="105"/>
      <c r="K629" s="85"/>
      <c r="L629" s="85"/>
    </row>
    <row r="630">
      <c r="D630" s="104"/>
      <c r="E630" s="105"/>
      <c r="K630" s="85"/>
      <c r="L630" s="85"/>
    </row>
    <row r="631">
      <c r="D631" s="104"/>
      <c r="E631" s="105"/>
      <c r="K631" s="85"/>
      <c r="L631" s="85"/>
    </row>
    <row r="632">
      <c r="D632" s="104"/>
      <c r="E632" s="105"/>
      <c r="K632" s="85"/>
      <c r="L632" s="85"/>
    </row>
    <row r="633">
      <c r="D633" s="104"/>
      <c r="E633" s="105"/>
      <c r="K633" s="85"/>
      <c r="L633" s="85"/>
    </row>
    <row r="634">
      <c r="D634" s="104"/>
      <c r="E634" s="105"/>
      <c r="K634" s="85"/>
      <c r="L634" s="85"/>
    </row>
    <row r="635">
      <c r="D635" s="104"/>
      <c r="E635" s="105"/>
      <c r="K635" s="85"/>
      <c r="L635" s="85"/>
    </row>
    <row r="636">
      <c r="D636" s="104"/>
      <c r="E636" s="105"/>
      <c r="K636" s="85"/>
      <c r="L636" s="85"/>
    </row>
    <row r="637">
      <c r="D637" s="104"/>
      <c r="E637" s="105"/>
      <c r="K637" s="85"/>
      <c r="L637" s="85"/>
    </row>
    <row r="638">
      <c r="D638" s="104"/>
      <c r="E638" s="105"/>
      <c r="K638" s="85"/>
      <c r="L638" s="85"/>
    </row>
    <row r="639">
      <c r="D639" s="104"/>
      <c r="E639" s="105"/>
      <c r="K639" s="85"/>
      <c r="L639" s="85"/>
    </row>
    <row r="640">
      <c r="D640" s="104"/>
      <c r="E640" s="105"/>
      <c r="K640" s="85"/>
      <c r="L640" s="85"/>
    </row>
    <row r="641">
      <c r="D641" s="104"/>
      <c r="E641" s="105"/>
      <c r="K641" s="85"/>
      <c r="L641" s="85"/>
    </row>
    <row r="642">
      <c r="D642" s="104"/>
      <c r="E642" s="105"/>
      <c r="K642" s="85"/>
      <c r="L642" s="85"/>
    </row>
    <row r="643">
      <c r="D643" s="104"/>
      <c r="E643" s="105"/>
      <c r="K643" s="85"/>
      <c r="L643" s="85"/>
    </row>
    <row r="644">
      <c r="D644" s="104"/>
      <c r="E644" s="105"/>
      <c r="K644" s="85"/>
      <c r="L644" s="85"/>
    </row>
    <row r="645">
      <c r="D645" s="104"/>
      <c r="E645" s="105"/>
      <c r="K645" s="85"/>
      <c r="L645" s="85"/>
    </row>
    <row r="646">
      <c r="D646" s="104"/>
      <c r="E646" s="105"/>
      <c r="K646" s="85"/>
      <c r="L646" s="85"/>
    </row>
    <row r="647">
      <c r="D647" s="104"/>
      <c r="E647" s="105"/>
      <c r="K647" s="85"/>
      <c r="L647" s="85"/>
    </row>
    <row r="648">
      <c r="D648" s="104"/>
      <c r="E648" s="105"/>
      <c r="K648" s="85"/>
      <c r="L648" s="85"/>
    </row>
    <row r="649">
      <c r="D649" s="104"/>
      <c r="E649" s="105"/>
      <c r="K649" s="85"/>
      <c r="L649" s="85"/>
    </row>
    <row r="650">
      <c r="D650" s="104"/>
      <c r="E650" s="105"/>
      <c r="K650" s="85"/>
      <c r="L650" s="85"/>
    </row>
    <row r="651">
      <c r="D651" s="104"/>
      <c r="E651" s="105"/>
      <c r="K651" s="85"/>
      <c r="L651" s="85"/>
    </row>
    <row r="652">
      <c r="D652" s="104"/>
      <c r="E652" s="105"/>
      <c r="K652" s="85"/>
      <c r="L652" s="85"/>
    </row>
    <row r="653">
      <c r="D653" s="104"/>
      <c r="E653" s="105"/>
      <c r="K653" s="85"/>
      <c r="L653" s="85"/>
    </row>
    <row r="654">
      <c r="D654" s="104"/>
      <c r="E654" s="105"/>
      <c r="K654" s="85"/>
      <c r="L654" s="85"/>
    </row>
    <row r="655">
      <c r="D655" s="104"/>
      <c r="E655" s="105"/>
      <c r="K655" s="85"/>
      <c r="L655" s="85"/>
    </row>
    <row r="656">
      <c r="D656" s="104"/>
      <c r="E656" s="105"/>
      <c r="K656" s="85"/>
      <c r="L656" s="85"/>
    </row>
    <row r="657">
      <c r="D657" s="104"/>
      <c r="E657" s="105"/>
      <c r="K657" s="85"/>
      <c r="L657" s="85"/>
    </row>
    <row r="658">
      <c r="D658" s="104"/>
      <c r="E658" s="105"/>
      <c r="K658" s="85"/>
      <c r="L658" s="85"/>
    </row>
    <row r="659">
      <c r="D659" s="104"/>
      <c r="E659" s="105"/>
      <c r="K659" s="85"/>
      <c r="L659" s="85"/>
    </row>
    <row r="660">
      <c r="D660" s="104"/>
      <c r="E660" s="105"/>
      <c r="K660" s="85"/>
      <c r="L660" s="85"/>
    </row>
    <row r="661">
      <c r="D661" s="104"/>
      <c r="E661" s="105"/>
      <c r="K661" s="85"/>
      <c r="L661" s="85"/>
    </row>
    <row r="662">
      <c r="D662" s="104"/>
      <c r="E662" s="105"/>
      <c r="K662" s="85"/>
      <c r="L662" s="85"/>
    </row>
    <row r="663">
      <c r="D663" s="104"/>
      <c r="E663" s="105"/>
      <c r="K663" s="85"/>
      <c r="L663" s="85"/>
    </row>
    <row r="664">
      <c r="D664" s="104"/>
      <c r="E664" s="105"/>
      <c r="K664" s="85"/>
      <c r="L664" s="85"/>
    </row>
    <row r="665">
      <c r="D665" s="104"/>
      <c r="E665" s="105"/>
      <c r="K665" s="85"/>
      <c r="L665" s="85"/>
    </row>
    <row r="666">
      <c r="D666" s="104"/>
      <c r="E666" s="105"/>
      <c r="K666" s="85"/>
      <c r="L666" s="85"/>
    </row>
    <row r="667">
      <c r="D667" s="104"/>
      <c r="E667" s="105"/>
      <c r="K667" s="85"/>
      <c r="L667" s="85"/>
    </row>
    <row r="668">
      <c r="D668" s="104"/>
      <c r="E668" s="105"/>
      <c r="K668" s="85"/>
      <c r="L668" s="85"/>
    </row>
    <row r="669">
      <c r="D669" s="104"/>
      <c r="E669" s="105"/>
      <c r="K669" s="85"/>
      <c r="L669" s="85"/>
    </row>
    <row r="670">
      <c r="D670" s="104"/>
      <c r="E670" s="105"/>
      <c r="K670" s="85"/>
      <c r="L670" s="85"/>
    </row>
    <row r="671">
      <c r="D671" s="104"/>
      <c r="E671" s="105"/>
      <c r="K671" s="85"/>
      <c r="L671" s="85"/>
    </row>
    <row r="672">
      <c r="D672" s="104"/>
      <c r="E672" s="105"/>
      <c r="K672" s="85"/>
      <c r="L672" s="85"/>
    </row>
    <row r="673">
      <c r="D673" s="104"/>
      <c r="E673" s="105"/>
      <c r="K673" s="85"/>
      <c r="L673" s="85"/>
    </row>
    <row r="674">
      <c r="D674" s="104"/>
      <c r="E674" s="105"/>
      <c r="K674" s="85"/>
      <c r="L674" s="85"/>
    </row>
    <row r="675">
      <c r="D675" s="104"/>
      <c r="E675" s="105"/>
      <c r="K675" s="85"/>
      <c r="L675" s="85"/>
    </row>
    <row r="676">
      <c r="D676" s="104"/>
      <c r="E676" s="105"/>
      <c r="K676" s="85"/>
      <c r="L676" s="85"/>
    </row>
    <row r="677">
      <c r="D677" s="104"/>
      <c r="E677" s="105"/>
      <c r="K677" s="85"/>
      <c r="L677" s="85"/>
    </row>
    <row r="678">
      <c r="D678" s="104"/>
      <c r="E678" s="105"/>
      <c r="K678" s="85"/>
      <c r="L678" s="85"/>
    </row>
    <row r="679">
      <c r="D679" s="104"/>
      <c r="E679" s="105"/>
      <c r="K679" s="85"/>
      <c r="L679" s="85"/>
    </row>
    <row r="680">
      <c r="D680" s="104"/>
      <c r="E680" s="105"/>
      <c r="K680" s="85"/>
      <c r="L680" s="85"/>
    </row>
    <row r="681">
      <c r="D681" s="104"/>
      <c r="E681" s="105"/>
      <c r="K681" s="85"/>
      <c r="L681" s="85"/>
    </row>
    <row r="682">
      <c r="D682" s="104"/>
      <c r="E682" s="105"/>
      <c r="K682" s="85"/>
      <c r="L682" s="85"/>
    </row>
    <row r="683">
      <c r="D683" s="104"/>
      <c r="E683" s="105"/>
      <c r="K683" s="85"/>
      <c r="L683" s="85"/>
    </row>
    <row r="684">
      <c r="D684" s="104"/>
      <c r="E684" s="105"/>
      <c r="K684" s="85"/>
      <c r="L684" s="85"/>
    </row>
    <row r="685">
      <c r="D685" s="104"/>
      <c r="E685" s="105"/>
      <c r="K685" s="85"/>
      <c r="L685" s="85"/>
    </row>
    <row r="686">
      <c r="D686" s="104"/>
      <c r="E686" s="105"/>
      <c r="K686" s="85"/>
      <c r="L686" s="85"/>
    </row>
    <row r="687">
      <c r="D687" s="104"/>
      <c r="E687" s="105"/>
      <c r="K687" s="85"/>
      <c r="L687" s="85"/>
    </row>
    <row r="688">
      <c r="D688" s="104"/>
      <c r="E688" s="105"/>
      <c r="K688" s="85"/>
      <c r="L688" s="85"/>
    </row>
    <row r="689">
      <c r="D689" s="104"/>
      <c r="E689" s="105"/>
      <c r="K689" s="85"/>
      <c r="L689" s="85"/>
    </row>
    <row r="690">
      <c r="D690" s="104"/>
      <c r="E690" s="105"/>
      <c r="K690" s="85"/>
      <c r="L690" s="85"/>
    </row>
    <row r="691">
      <c r="D691" s="104"/>
      <c r="E691" s="105"/>
      <c r="K691" s="85"/>
      <c r="L691" s="85"/>
    </row>
    <row r="692">
      <c r="D692" s="104"/>
      <c r="E692" s="105"/>
      <c r="K692" s="85"/>
      <c r="L692" s="85"/>
    </row>
    <row r="693">
      <c r="D693" s="104"/>
      <c r="E693" s="105"/>
      <c r="K693" s="85"/>
      <c r="L693" s="85"/>
    </row>
    <row r="694">
      <c r="D694" s="104"/>
      <c r="E694" s="105"/>
      <c r="K694" s="85"/>
      <c r="L694" s="85"/>
    </row>
    <row r="695">
      <c r="D695" s="104"/>
      <c r="E695" s="105"/>
      <c r="K695" s="85"/>
      <c r="L695" s="85"/>
    </row>
    <row r="696">
      <c r="D696" s="104"/>
      <c r="E696" s="105"/>
      <c r="K696" s="85"/>
      <c r="L696" s="85"/>
    </row>
    <row r="697">
      <c r="D697" s="104"/>
      <c r="E697" s="105"/>
      <c r="K697" s="85"/>
      <c r="L697" s="85"/>
    </row>
    <row r="698">
      <c r="D698" s="104"/>
      <c r="E698" s="105"/>
      <c r="K698" s="85"/>
      <c r="L698" s="85"/>
    </row>
    <row r="699">
      <c r="D699" s="104"/>
      <c r="E699" s="105"/>
      <c r="K699" s="85"/>
      <c r="L699" s="85"/>
    </row>
    <row r="700">
      <c r="D700" s="104"/>
      <c r="E700" s="105"/>
      <c r="K700" s="85"/>
      <c r="L700" s="85"/>
    </row>
    <row r="701">
      <c r="D701" s="104"/>
      <c r="E701" s="105"/>
      <c r="K701" s="85"/>
      <c r="L701" s="85"/>
    </row>
    <row r="702">
      <c r="D702" s="104"/>
      <c r="E702" s="105"/>
      <c r="K702" s="85"/>
      <c r="L702" s="85"/>
    </row>
    <row r="703">
      <c r="D703" s="104"/>
      <c r="E703" s="105"/>
      <c r="K703" s="85"/>
      <c r="L703" s="85"/>
    </row>
    <row r="704">
      <c r="D704" s="104"/>
      <c r="E704" s="105"/>
      <c r="K704" s="85"/>
      <c r="L704" s="85"/>
    </row>
    <row r="705">
      <c r="D705" s="104"/>
      <c r="E705" s="105"/>
      <c r="K705" s="85"/>
      <c r="L705" s="85"/>
    </row>
    <row r="706">
      <c r="D706" s="104"/>
      <c r="E706" s="105"/>
      <c r="K706" s="85"/>
      <c r="L706" s="85"/>
    </row>
    <row r="707">
      <c r="D707" s="104"/>
      <c r="E707" s="105"/>
      <c r="K707" s="85"/>
      <c r="L707" s="85"/>
    </row>
    <row r="708">
      <c r="D708" s="104"/>
      <c r="E708" s="105"/>
      <c r="K708" s="85"/>
      <c r="L708" s="85"/>
    </row>
    <row r="709">
      <c r="D709" s="104"/>
      <c r="E709" s="105"/>
      <c r="K709" s="85"/>
      <c r="L709" s="85"/>
    </row>
    <row r="710">
      <c r="D710" s="104"/>
      <c r="E710" s="105"/>
      <c r="K710" s="85"/>
      <c r="L710" s="85"/>
    </row>
    <row r="711">
      <c r="D711" s="104"/>
      <c r="E711" s="105"/>
      <c r="K711" s="85"/>
      <c r="L711" s="85"/>
    </row>
    <row r="712">
      <c r="D712" s="104"/>
      <c r="E712" s="105"/>
      <c r="K712" s="85"/>
      <c r="L712" s="85"/>
    </row>
    <row r="713">
      <c r="D713" s="104"/>
      <c r="E713" s="105"/>
      <c r="K713" s="85"/>
      <c r="L713" s="85"/>
    </row>
    <row r="714">
      <c r="D714" s="104"/>
      <c r="E714" s="105"/>
      <c r="K714" s="85"/>
      <c r="L714" s="85"/>
    </row>
    <row r="715">
      <c r="D715" s="104"/>
      <c r="E715" s="105"/>
      <c r="K715" s="85"/>
      <c r="L715" s="85"/>
    </row>
    <row r="716">
      <c r="D716" s="104"/>
      <c r="E716" s="105"/>
      <c r="K716" s="85"/>
      <c r="L716" s="85"/>
    </row>
    <row r="717">
      <c r="D717" s="104"/>
      <c r="E717" s="105"/>
      <c r="K717" s="85"/>
      <c r="L717" s="85"/>
    </row>
    <row r="718">
      <c r="D718" s="104"/>
      <c r="E718" s="105"/>
      <c r="K718" s="85"/>
      <c r="L718" s="85"/>
    </row>
    <row r="719">
      <c r="D719" s="104"/>
      <c r="E719" s="105"/>
      <c r="K719" s="85"/>
      <c r="L719" s="85"/>
    </row>
    <row r="720">
      <c r="D720" s="104"/>
      <c r="E720" s="105"/>
      <c r="K720" s="85"/>
      <c r="L720" s="85"/>
    </row>
    <row r="721">
      <c r="D721" s="104"/>
      <c r="E721" s="105"/>
      <c r="K721" s="85"/>
      <c r="L721" s="85"/>
    </row>
    <row r="722">
      <c r="D722" s="104"/>
      <c r="E722" s="105"/>
      <c r="K722" s="85"/>
      <c r="L722" s="85"/>
    </row>
    <row r="723">
      <c r="D723" s="104"/>
      <c r="E723" s="105"/>
      <c r="K723" s="85"/>
      <c r="L723" s="85"/>
    </row>
    <row r="724">
      <c r="D724" s="104"/>
      <c r="E724" s="105"/>
      <c r="K724" s="85"/>
      <c r="L724" s="85"/>
    </row>
    <row r="725">
      <c r="D725" s="104"/>
      <c r="E725" s="105"/>
      <c r="K725" s="85"/>
      <c r="L725" s="85"/>
    </row>
    <row r="726">
      <c r="D726" s="104"/>
      <c r="E726" s="105"/>
      <c r="K726" s="85"/>
      <c r="L726" s="85"/>
    </row>
    <row r="727">
      <c r="D727" s="104"/>
      <c r="E727" s="105"/>
      <c r="K727" s="85"/>
      <c r="L727" s="85"/>
    </row>
    <row r="728">
      <c r="D728" s="104"/>
      <c r="E728" s="105"/>
      <c r="K728" s="85"/>
      <c r="L728" s="85"/>
    </row>
    <row r="729">
      <c r="D729" s="104"/>
      <c r="E729" s="105"/>
      <c r="K729" s="85"/>
      <c r="L729" s="85"/>
    </row>
    <row r="730">
      <c r="D730" s="104"/>
      <c r="E730" s="105"/>
      <c r="K730" s="85"/>
      <c r="L730" s="85"/>
    </row>
    <row r="731">
      <c r="D731" s="104"/>
      <c r="E731" s="105"/>
      <c r="K731" s="85"/>
      <c r="L731" s="85"/>
    </row>
    <row r="732">
      <c r="D732" s="104"/>
      <c r="E732" s="105"/>
      <c r="K732" s="85"/>
      <c r="L732" s="85"/>
    </row>
    <row r="733">
      <c r="D733" s="104"/>
      <c r="E733" s="105"/>
      <c r="K733" s="85"/>
      <c r="L733" s="85"/>
    </row>
    <row r="734">
      <c r="D734" s="104"/>
      <c r="E734" s="105"/>
      <c r="K734" s="85"/>
      <c r="L734" s="85"/>
    </row>
    <row r="735">
      <c r="D735" s="104"/>
      <c r="E735" s="105"/>
      <c r="K735" s="85"/>
      <c r="L735" s="85"/>
    </row>
    <row r="736">
      <c r="D736" s="104"/>
      <c r="E736" s="105"/>
      <c r="K736" s="85"/>
      <c r="L736" s="85"/>
    </row>
    <row r="737">
      <c r="D737" s="104"/>
      <c r="E737" s="105"/>
      <c r="K737" s="85"/>
      <c r="L737" s="85"/>
    </row>
    <row r="738">
      <c r="D738" s="104"/>
      <c r="E738" s="105"/>
      <c r="K738" s="85"/>
      <c r="L738" s="85"/>
    </row>
    <row r="739">
      <c r="D739" s="104"/>
      <c r="E739" s="105"/>
      <c r="K739" s="85"/>
      <c r="L739" s="85"/>
    </row>
    <row r="740">
      <c r="D740" s="104"/>
      <c r="E740" s="105"/>
      <c r="K740" s="85"/>
      <c r="L740" s="85"/>
    </row>
    <row r="741">
      <c r="D741" s="104"/>
      <c r="E741" s="105"/>
      <c r="K741" s="85"/>
      <c r="L741" s="85"/>
    </row>
    <row r="742">
      <c r="D742" s="104"/>
      <c r="E742" s="105"/>
      <c r="K742" s="85"/>
      <c r="L742" s="85"/>
    </row>
    <row r="743">
      <c r="D743" s="104"/>
      <c r="E743" s="105"/>
      <c r="K743" s="85"/>
      <c r="L743" s="85"/>
    </row>
    <row r="744">
      <c r="D744" s="104"/>
      <c r="E744" s="105"/>
      <c r="K744" s="85"/>
      <c r="L744" s="85"/>
    </row>
    <row r="745">
      <c r="D745" s="104"/>
      <c r="E745" s="105"/>
      <c r="K745" s="85"/>
      <c r="L745" s="85"/>
    </row>
    <row r="746">
      <c r="D746" s="104"/>
      <c r="E746" s="105"/>
      <c r="K746" s="85"/>
      <c r="L746" s="85"/>
    </row>
    <row r="747">
      <c r="D747" s="104"/>
      <c r="E747" s="105"/>
      <c r="K747" s="85"/>
      <c r="L747" s="85"/>
    </row>
    <row r="748">
      <c r="D748" s="104"/>
      <c r="E748" s="105"/>
      <c r="K748" s="85"/>
      <c r="L748" s="85"/>
    </row>
    <row r="749">
      <c r="D749" s="104"/>
      <c r="E749" s="105"/>
      <c r="K749" s="85"/>
      <c r="L749" s="85"/>
    </row>
    <row r="750">
      <c r="D750" s="104"/>
      <c r="E750" s="105"/>
      <c r="K750" s="85"/>
      <c r="L750" s="85"/>
    </row>
    <row r="751">
      <c r="D751" s="104"/>
      <c r="E751" s="105"/>
      <c r="K751" s="85"/>
      <c r="L751" s="85"/>
    </row>
    <row r="752">
      <c r="D752" s="104"/>
      <c r="E752" s="105"/>
      <c r="K752" s="85"/>
      <c r="L752" s="85"/>
    </row>
    <row r="753">
      <c r="D753" s="104"/>
      <c r="E753" s="105"/>
      <c r="K753" s="85"/>
      <c r="L753" s="85"/>
    </row>
    <row r="754">
      <c r="D754" s="104"/>
      <c r="E754" s="105"/>
      <c r="K754" s="85"/>
      <c r="L754" s="85"/>
    </row>
    <row r="755">
      <c r="D755" s="104"/>
      <c r="E755" s="105"/>
      <c r="K755" s="85"/>
      <c r="L755" s="85"/>
    </row>
    <row r="756">
      <c r="D756" s="104"/>
      <c r="E756" s="105"/>
      <c r="K756" s="85"/>
      <c r="L756" s="85"/>
    </row>
    <row r="757">
      <c r="D757" s="104"/>
      <c r="E757" s="105"/>
      <c r="K757" s="85"/>
      <c r="L757" s="85"/>
    </row>
    <row r="758">
      <c r="D758" s="104"/>
      <c r="E758" s="105"/>
      <c r="K758" s="85"/>
      <c r="L758" s="85"/>
    </row>
    <row r="759">
      <c r="D759" s="104"/>
      <c r="E759" s="105"/>
      <c r="K759" s="85"/>
      <c r="L759" s="85"/>
    </row>
    <row r="760">
      <c r="D760" s="104"/>
      <c r="E760" s="105"/>
      <c r="K760" s="85"/>
      <c r="L760" s="85"/>
    </row>
    <row r="761">
      <c r="D761" s="104"/>
      <c r="E761" s="105"/>
      <c r="K761" s="85"/>
      <c r="L761" s="85"/>
    </row>
    <row r="762">
      <c r="D762" s="104"/>
      <c r="E762" s="105"/>
      <c r="K762" s="85"/>
      <c r="L762" s="85"/>
    </row>
    <row r="763">
      <c r="D763" s="104"/>
      <c r="E763" s="105"/>
      <c r="K763" s="85"/>
      <c r="L763" s="85"/>
    </row>
    <row r="764">
      <c r="D764" s="104"/>
      <c r="E764" s="105"/>
      <c r="K764" s="85"/>
      <c r="L764" s="85"/>
    </row>
    <row r="765">
      <c r="D765" s="104"/>
      <c r="E765" s="105"/>
      <c r="K765" s="85"/>
      <c r="L765" s="85"/>
    </row>
    <row r="766">
      <c r="D766" s="104"/>
      <c r="E766" s="105"/>
      <c r="K766" s="85"/>
      <c r="L766" s="85"/>
    </row>
    <row r="767">
      <c r="D767" s="104"/>
      <c r="E767" s="105"/>
      <c r="K767" s="85"/>
      <c r="L767" s="85"/>
    </row>
    <row r="768">
      <c r="D768" s="104"/>
      <c r="E768" s="105"/>
      <c r="K768" s="85"/>
      <c r="L768" s="85"/>
    </row>
    <row r="769">
      <c r="D769" s="104"/>
      <c r="E769" s="105"/>
      <c r="K769" s="85"/>
      <c r="L769" s="85"/>
    </row>
    <row r="770">
      <c r="D770" s="104"/>
      <c r="E770" s="105"/>
      <c r="K770" s="85"/>
      <c r="L770" s="85"/>
    </row>
    <row r="771">
      <c r="D771" s="104"/>
      <c r="E771" s="105"/>
      <c r="K771" s="85"/>
      <c r="L771" s="85"/>
    </row>
    <row r="772">
      <c r="D772" s="104"/>
      <c r="E772" s="105"/>
      <c r="K772" s="85"/>
      <c r="L772" s="85"/>
    </row>
    <row r="773">
      <c r="D773" s="104"/>
      <c r="E773" s="105"/>
      <c r="K773" s="85"/>
      <c r="L773" s="85"/>
    </row>
    <row r="774">
      <c r="D774" s="104"/>
      <c r="E774" s="105"/>
      <c r="K774" s="85"/>
      <c r="L774" s="85"/>
    </row>
    <row r="775">
      <c r="D775" s="104"/>
      <c r="E775" s="105"/>
      <c r="K775" s="85"/>
      <c r="L775" s="85"/>
    </row>
    <row r="776">
      <c r="D776" s="104"/>
      <c r="E776" s="105"/>
      <c r="K776" s="85"/>
      <c r="L776" s="85"/>
    </row>
    <row r="777">
      <c r="D777" s="104"/>
      <c r="E777" s="105"/>
      <c r="K777" s="85"/>
      <c r="L777" s="85"/>
    </row>
    <row r="778">
      <c r="D778" s="104"/>
      <c r="E778" s="105"/>
      <c r="K778" s="85"/>
      <c r="L778" s="85"/>
    </row>
    <row r="779">
      <c r="D779" s="104"/>
      <c r="E779" s="105"/>
      <c r="K779" s="85"/>
      <c r="L779" s="85"/>
    </row>
    <row r="780">
      <c r="D780" s="104"/>
      <c r="E780" s="105"/>
      <c r="K780" s="85"/>
      <c r="L780" s="85"/>
    </row>
    <row r="781">
      <c r="D781" s="104"/>
      <c r="E781" s="105"/>
      <c r="K781" s="85"/>
      <c r="L781" s="85"/>
    </row>
    <row r="782">
      <c r="D782" s="104"/>
      <c r="E782" s="105"/>
      <c r="K782" s="85"/>
      <c r="L782" s="85"/>
    </row>
    <row r="783">
      <c r="D783" s="104"/>
      <c r="E783" s="105"/>
      <c r="K783" s="85"/>
      <c r="L783" s="85"/>
    </row>
    <row r="784">
      <c r="D784" s="104"/>
      <c r="E784" s="105"/>
      <c r="K784" s="85"/>
      <c r="L784" s="85"/>
    </row>
    <row r="785">
      <c r="D785" s="104"/>
      <c r="E785" s="105"/>
      <c r="K785" s="85"/>
      <c r="L785" s="85"/>
    </row>
    <row r="786">
      <c r="D786" s="104"/>
      <c r="E786" s="105"/>
      <c r="K786" s="85"/>
      <c r="L786" s="85"/>
    </row>
    <row r="787">
      <c r="D787" s="104"/>
      <c r="E787" s="105"/>
      <c r="K787" s="85"/>
      <c r="L787" s="85"/>
    </row>
    <row r="788">
      <c r="D788" s="104"/>
      <c r="E788" s="105"/>
      <c r="K788" s="85"/>
      <c r="L788" s="85"/>
    </row>
    <row r="789">
      <c r="D789" s="104"/>
      <c r="E789" s="105"/>
      <c r="K789" s="85"/>
      <c r="L789" s="85"/>
    </row>
    <row r="790">
      <c r="D790" s="104"/>
      <c r="E790" s="105"/>
      <c r="K790" s="85"/>
      <c r="L790" s="85"/>
    </row>
    <row r="791">
      <c r="D791" s="104"/>
      <c r="E791" s="105"/>
      <c r="K791" s="85"/>
      <c r="L791" s="85"/>
    </row>
    <row r="792">
      <c r="D792" s="104"/>
      <c r="E792" s="105"/>
      <c r="K792" s="85"/>
      <c r="L792" s="85"/>
    </row>
    <row r="793">
      <c r="D793" s="104"/>
      <c r="E793" s="105"/>
      <c r="K793" s="85"/>
      <c r="L793" s="85"/>
    </row>
    <row r="794">
      <c r="D794" s="104"/>
      <c r="E794" s="105"/>
      <c r="K794" s="85"/>
      <c r="L794" s="85"/>
    </row>
    <row r="795">
      <c r="D795" s="104"/>
      <c r="E795" s="105"/>
      <c r="K795" s="85"/>
      <c r="L795" s="85"/>
    </row>
    <row r="796">
      <c r="D796" s="104"/>
      <c r="E796" s="105"/>
      <c r="K796" s="85"/>
      <c r="L796" s="85"/>
    </row>
    <row r="797">
      <c r="D797" s="104"/>
      <c r="E797" s="105"/>
      <c r="K797" s="85"/>
      <c r="L797" s="85"/>
    </row>
    <row r="798">
      <c r="D798" s="104"/>
      <c r="E798" s="105"/>
      <c r="K798" s="85"/>
      <c r="L798" s="85"/>
    </row>
    <row r="799">
      <c r="D799" s="104"/>
      <c r="E799" s="105"/>
      <c r="K799" s="85"/>
      <c r="L799" s="85"/>
    </row>
    <row r="800">
      <c r="D800" s="104"/>
      <c r="E800" s="105"/>
      <c r="K800" s="85"/>
      <c r="L800" s="85"/>
    </row>
    <row r="801">
      <c r="D801" s="104"/>
      <c r="E801" s="105"/>
      <c r="K801" s="85"/>
      <c r="L801" s="85"/>
    </row>
    <row r="802">
      <c r="D802" s="104"/>
      <c r="E802" s="105"/>
      <c r="K802" s="85"/>
      <c r="L802" s="85"/>
    </row>
    <row r="803">
      <c r="D803" s="104"/>
      <c r="E803" s="105"/>
      <c r="K803" s="85"/>
      <c r="L803" s="85"/>
    </row>
    <row r="804">
      <c r="D804" s="104"/>
      <c r="E804" s="105"/>
      <c r="K804" s="85"/>
      <c r="L804" s="85"/>
    </row>
    <row r="805">
      <c r="D805" s="104"/>
      <c r="E805" s="105"/>
      <c r="K805" s="85"/>
      <c r="L805" s="85"/>
    </row>
    <row r="806">
      <c r="D806" s="104"/>
      <c r="E806" s="105"/>
      <c r="K806" s="85"/>
      <c r="L806" s="85"/>
    </row>
    <row r="807">
      <c r="D807" s="104"/>
      <c r="E807" s="105"/>
      <c r="K807" s="85"/>
      <c r="L807" s="85"/>
    </row>
    <row r="808">
      <c r="D808" s="104"/>
      <c r="E808" s="105"/>
      <c r="K808" s="85"/>
      <c r="L808" s="85"/>
    </row>
    <row r="809">
      <c r="D809" s="104"/>
      <c r="E809" s="105"/>
      <c r="K809" s="85"/>
      <c r="L809" s="85"/>
    </row>
    <row r="810">
      <c r="D810" s="104"/>
      <c r="E810" s="105"/>
      <c r="K810" s="85"/>
      <c r="L810" s="85"/>
    </row>
    <row r="811">
      <c r="D811" s="104"/>
      <c r="E811" s="105"/>
      <c r="K811" s="85"/>
      <c r="L811" s="85"/>
    </row>
    <row r="812">
      <c r="D812" s="104"/>
      <c r="E812" s="105"/>
      <c r="K812" s="85"/>
      <c r="L812" s="85"/>
    </row>
    <row r="813">
      <c r="D813" s="104"/>
      <c r="E813" s="105"/>
      <c r="K813" s="85"/>
      <c r="L813" s="85"/>
    </row>
    <row r="814">
      <c r="D814" s="104"/>
      <c r="E814" s="105"/>
      <c r="K814" s="85"/>
      <c r="L814" s="85"/>
    </row>
    <row r="815">
      <c r="D815" s="104"/>
      <c r="E815" s="105"/>
      <c r="K815" s="85"/>
      <c r="L815" s="85"/>
    </row>
    <row r="816">
      <c r="D816" s="104"/>
      <c r="E816" s="105"/>
      <c r="K816" s="85"/>
      <c r="L816" s="85"/>
    </row>
    <row r="817">
      <c r="D817" s="104"/>
      <c r="E817" s="105"/>
      <c r="K817" s="85"/>
      <c r="L817" s="85"/>
    </row>
    <row r="818">
      <c r="D818" s="104"/>
      <c r="E818" s="105"/>
      <c r="K818" s="85"/>
      <c r="L818" s="85"/>
    </row>
    <row r="819">
      <c r="D819" s="104"/>
      <c r="E819" s="105"/>
      <c r="K819" s="85"/>
      <c r="L819" s="85"/>
    </row>
    <row r="820">
      <c r="D820" s="104"/>
      <c r="E820" s="105"/>
      <c r="K820" s="85"/>
      <c r="L820" s="85"/>
    </row>
    <row r="821">
      <c r="D821" s="104"/>
      <c r="E821" s="105"/>
      <c r="K821" s="85"/>
      <c r="L821" s="85"/>
    </row>
    <row r="822">
      <c r="D822" s="104"/>
      <c r="E822" s="105"/>
      <c r="K822" s="85"/>
      <c r="L822" s="85"/>
    </row>
    <row r="823">
      <c r="D823" s="104"/>
      <c r="E823" s="105"/>
      <c r="K823" s="85"/>
      <c r="L823" s="85"/>
    </row>
    <row r="824">
      <c r="D824" s="104"/>
      <c r="E824" s="105"/>
      <c r="K824" s="85"/>
      <c r="L824" s="85"/>
    </row>
    <row r="825">
      <c r="D825" s="104"/>
      <c r="E825" s="105"/>
      <c r="K825" s="85"/>
      <c r="L825" s="85"/>
    </row>
    <row r="826">
      <c r="D826" s="104"/>
      <c r="E826" s="105"/>
      <c r="K826" s="85"/>
      <c r="L826" s="85"/>
    </row>
    <row r="827">
      <c r="D827" s="104"/>
      <c r="E827" s="105"/>
      <c r="K827" s="85"/>
      <c r="L827" s="85"/>
    </row>
    <row r="828">
      <c r="D828" s="104"/>
      <c r="E828" s="105"/>
      <c r="K828" s="85"/>
      <c r="L828" s="85"/>
    </row>
    <row r="829">
      <c r="D829" s="104"/>
      <c r="E829" s="105"/>
      <c r="K829" s="85"/>
      <c r="L829" s="85"/>
    </row>
    <row r="830">
      <c r="D830" s="104"/>
      <c r="E830" s="105"/>
      <c r="K830" s="85"/>
      <c r="L830" s="85"/>
    </row>
    <row r="831">
      <c r="D831" s="104"/>
      <c r="E831" s="105"/>
      <c r="K831" s="85"/>
      <c r="L831" s="85"/>
    </row>
    <row r="832">
      <c r="D832" s="104"/>
      <c r="E832" s="105"/>
      <c r="K832" s="85"/>
      <c r="L832" s="85"/>
    </row>
    <row r="833">
      <c r="D833" s="104"/>
      <c r="E833" s="105"/>
      <c r="K833" s="85"/>
      <c r="L833" s="85"/>
    </row>
    <row r="834">
      <c r="D834" s="104"/>
      <c r="E834" s="105"/>
      <c r="K834" s="85"/>
      <c r="L834" s="85"/>
    </row>
    <row r="835">
      <c r="D835" s="104"/>
      <c r="E835" s="105"/>
      <c r="K835" s="85"/>
      <c r="L835" s="85"/>
    </row>
    <row r="836">
      <c r="D836" s="104"/>
      <c r="E836" s="105"/>
      <c r="K836" s="85"/>
      <c r="L836" s="85"/>
    </row>
    <row r="837">
      <c r="D837" s="104"/>
      <c r="E837" s="105"/>
      <c r="K837" s="85"/>
      <c r="L837" s="85"/>
    </row>
    <row r="838">
      <c r="D838" s="104"/>
      <c r="E838" s="105"/>
      <c r="K838" s="85"/>
      <c r="L838" s="85"/>
    </row>
    <row r="839">
      <c r="D839" s="104"/>
      <c r="E839" s="105"/>
      <c r="K839" s="85"/>
      <c r="L839" s="85"/>
    </row>
    <row r="840">
      <c r="D840" s="104"/>
      <c r="E840" s="105"/>
      <c r="K840" s="85"/>
      <c r="L840" s="85"/>
    </row>
    <row r="841">
      <c r="D841" s="104"/>
      <c r="E841" s="105"/>
      <c r="K841" s="85"/>
      <c r="L841" s="85"/>
    </row>
    <row r="842">
      <c r="D842" s="104"/>
      <c r="E842" s="105"/>
      <c r="K842" s="85"/>
      <c r="L842" s="85"/>
    </row>
    <row r="843">
      <c r="D843" s="104"/>
      <c r="E843" s="105"/>
      <c r="K843" s="85"/>
      <c r="L843" s="85"/>
    </row>
    <row r="844">
      <c r="D844" s="104"/>
      <c r="E844" s="105"/>
      <c r="K844" s="85"/>
      <c r="L844" s="85"/>
    </row>
    <row r="845">
      <c r="D845" s="104"/>
      <c r="E845" s="105"/>
      <c r="K845" s="85"/>
      <c r="L845" s="85"/>
    </row>
    <row r="846">
      <c r="D846" s="104"/>
      <c r="E846" s="105"/>
      <c r="K846" s="85"/>
      <c r="L846" s="85"/>
    </row>
    <row r="847">
      <c r="D847" s="104"/>
      <c r="E847" s="105"/>
      <c r="K847" s="85"/>
      <c r="L847" s="85"/>
    </row>
    <row r="848">
      <c r="D848" s="104"/>
      <c r="E848" s="105"/>
      <c r="K848" s="85"/>
      <c r="L848" s="85"/>
    </row>
    <row r="849">
      <c r="D849" s="104"/>
      <c r="E849" s="105"/>
      <c r="K849" s="85"/>
      <c r="L849" s="85"/>
    </row>
    <row r="850">
      <c r="D850" s="104"/>
      <c r="E850" s="105"/>
      <c r="K850" s="85"/>
      <c r="L850" s="85"/>
    </row>
    <row r="851">
      <c r="D851" s="104"/>
      <c r="E851" s="105"/>
      <c r="K851" s="85"/>
      <c r="L851" s="85"/>
    </row>
    <row r="852">
      <c r="D852" s="104"/>
      <c r="E852" s="105"/>
      <c r="K852" s="85"/>
      <c r="L852" s="85"/>
    </row>
    <row r="853">
      <c r="D853" s="104"/>
      <c r="E853" s="105"/>
      <c r="K853" s="85"/>
      <c r="L853" s="85"/>
    </row>
    <row r="854">
      <c r="D854" s="104"/>
      <c r="E854" s="105"/>
      <c r="K854" s="85"/>
      <c r="L854" s="85"/>
    </row>
    <row r="855">
      <c r="D855" s="104"/>
      <c r="E855" s="105"/>
      <c r="K855" s="85"/>
      <c r="L855" s="85"/>
    </row>
    <row r="856">
      <c r="D856" s="104"/>
      <c r="E856" s="105"/>
      <c r="K856" s="85"/>
      <c r="L856" s="85"/>
    </row>
    <row r="857">
      <c r="D857" s="104"/>
      <c r="E857" s="105"/>
      <c r="K857" s="85"/>
      <c r="L857" s="85"/>
    </row>
    <row r="858">
      <c r="D858" s="104"/>
      <c r="E858" s="105"/>
      <c r="K858" s="85"/>
      <c r="L858" s="85"/>
    </row>
    <row r="859">
      <c r="D859" s="104"/>
      <c r="E859" s="105"/>
      <c r="K859" s="85"/>
      <c r="L859" s="85"/>
    </row>
    <row r="860">
      <c r="D860" s="104"/>
      <c r="E860" s="105"/>
      <c r="K860" s="85"/>
      <c r="L860" s="85"/>
    </row>
    <row r="861">
      <c r="D861" s="104"/>
      <c r="E861" s="105"/>
      <c r="K861" s="85"/>
      <c r="L861" s="85"/>
    </row>
    <row r="862">
      <c r="D862" s="104"/>
      <c r="E862" s="105"/>
      <c r="K862" s="85"/>
      <c r="L862" s="85"/>
    </row>
    <row r="863">
      <c r="D863" s="104"/>
      <c r="E863" s="105"/>
      <c r="K863" s="85"/>
      <c r="L863" s="85"/>
    </row>
    <row r="864">
      <c r="D864" s="104"/>
      <c r="E864" s="105"/>
      <c r="K864" s="85"/>
      <c r="L864" s="85"/>
    </row>
    <row r="865">
      <c r="D865" s="104"/>
      <c r="E865" s="105"/>
      <c r="K865" s="85"/>
      <c r="L865" s="85"/>
    </row>
    <row r="866">
      <c r="D866" s="104"/>
      <c r="E866" s="105"/>
      <c r="K866" s="85"/>
      <c r="L866" s="85"/>
    </row>
    <row r="867">
      <c r="D867" s="104"/>
      <c r="E867" s="105"/>
      <c r="K867" s="85"/>
      <c r="L867" s="85"/>
    </row>
    <row r="868">
      <c r="D868" s="104"/>
      <c r="E868" s="105"/>
      <c r="K868" s="85"/>
      <c r="L868" s="85"/>
    </row>
    <row r="869">
      <c r="D869" s="104"/>
      <c r="E869" s="105"/>
      <c r="K869" s="85"/>
      <c r="L869" s="85"/>
    </row>
    <row r="870">
      <c r="D870" s="104"/>
      <c r="E870" s="105"/>
      <c r="K870" s="85"/>
      <c r="L870" s="85"/>
    </row>
    <row r="871">
      <c r="D871" s="104"/>
      <c r="E871" s="105"/>
      <c r="K871" s="85"/>
      <c r="L871" s="85"/>
    </row>
    <row r="872">
      <c r="D872" s="104"/>
      <c r="E872" s="105"/>
      <c r="K872" s="85"/>
      <c r="L872" s="85"/>
    </row>
    <row r="873">
      <c r="D873" s="104"/>
      <c r="E873" s="105"/>
      <c r="K873" s="85"/>
      <c r="L873" s="85"/>
    </row>
    <row r="874">
      <c r="D874" s="104"/>
      <c r="E874" s="105"/>
      <c r="K874" s="85"/>
      <c r="L874" s="85"/>
    </row>
    <row r="875">
      <c r="D875" s="104"/>
      <c r="E875" s="105"/>
      <c r="K875" s="85"/>
      <c r="L875" s="85"/>
    </row>
    <row r="876">
      <c r="D876" s="104"/>
      <c r="E876" s="105"/>
      <c r="K876" s="85"/>
      <c r="L876" s="85"/>
    </row>
    <row r="877">
      <c r="D877" s="104"/>
      <c r="E877" s="105"/>
      <c r="K877" s="85"/>
      <c r="L877" s="85"/>
    </row>
    <row r="878">
      <c r="D878" s="104"/>
      <c r="E878" s="105"/>
      <c r="K878" s="85"/>
      <c r="L878" s="85"/>
    </row>
    <row r="879">
      <c r="D879" s="104"/>
      <c r="E879" s="105"/>
      <c r="K879" s="85"/>
      <c r="L879" s="85"/>
    </row>
    <row r="880">
      <c r="D880" s="104"/>
      <c r="E880" s="105"/>
      <c r="K880" s="85"/>
      <c r="L880" s="85"/>
    </row>
    <row r="881">
      <c r="D881" s="104"/>
      <c r="E881" s="105"/>
      <c r="K881" s="85"/>
      <c r="L881" s="85"/>
    </row>
    <row r="882">
      <c r="D882" s="104"/>
      <c r="E882" s="105"/>
      <c r="K882" s="85"/>
      <c r="L882" s="85"/>
    </row>
    <row r="883">
      <c r="D883" s="104"/>
      <c r="E883" s="105"/>
      <c r="K883" s="85"/>
      <c r="L883" s="85"/>
    </row>
    <row r="884">
      <c r="D884" s="104"/>
      <c r="E884" s="105"/>
      <c r="K884" s="85"/>
      <c r="L884" s="85"/>
    </row>
    <row r="885">
      <c r="D885" s="104"/>
      <c r="E885" s="105"/>
      <c r="K885" s="85"/>
      <c r="L885" s="85"/>
    </row>
    <row r="886">
      <c r="D886" s="104"/>
      <c r="E886" s="105"/>
      <c r="K886" s="85"/>
      <c r="L886" s="85"/>
    </row>
    <row r="887">
      <c r="D887" s="104"/>
      <c r="E887" s="105"/>
      <c r="K887" s="85"/>
      <c r="L887" s="85"/>
    </row>
    <row r="888">
      <c r="D888" s="104"/>
      <c r="E888" s="105"/>
      <c r="K888" s="85"/>
      <c r="L888" s="85"/>
    </row>
    <row r="889">
      <c r="D889" s="104"/>
      <c r="E889" s="105"/>
      <c r="K889" s="85"/>
      <c r="L889" s="85"/>
    </row>
    <row r="890">
      <c r="D890" s="104"/>
      <c r="E890" s="105"/>
      <c r="K890" s="85"/>
      <c r="L890" s="85"/>
    </row>
    <row r="891">
      <c r="D891" s="104"/>
      <c r="E891" s="105"/>
      <c r="K891" s="85"/>
      <c r="L891" s="85"/>
    </row>
    <row r="892">
      <c r="D892" s="104"/>
      <c r="E892" s="105"/>
      <c r="K892" s="85"/>
      <c r="L892" s="85"/>
    </row>
    <row r="893">
      <c r="D893" s="104"/>
      <c r="E893" s="105"/>
      <c r="K893" s="85"/>
      <c r="L893" s="85"/>
    </row>
    <row r="894">
      <c r="D894" s="104"/>
      <c r="E894" s="105"/>
      <c r="K894" s="85"/>
      <c r="L894" s="85"/>
    </row>
    <row r="895">
      <c r="D895" s="104"/>
      <c r="E895" s="105"/>
      <c r="K895" s="85"/>
      <c r="L895" s="85"/>
    </row>
    <row r="896">
      <c r="D896" s="104"/>
      <c r="E896" s="105"/>
      <c r="K896" s="85"/>
      <c r="L896" s="85"/>
    </row>
    <row r="897">
      <c r="D897" s="104"/>
      <c r="E897" s="105"/>
      <c r="K897" s="85"/>
      <c r="L897" s="85"/>
    </row>
    <row r="898">
      <c r="D898" s="104"/>
      <c r="E898" s="105"/>
      <c r="K898" s="85"/>
      <c r="L898" s="85"/>
    </row>
    <row r="899">
      <c r="D899" s="104"/>
      <c r="E899" s="105"/>
      <c r="K899" s="85"/>
      <c r="L899" s="85"/>
    </row>
    <row r="900">
      <c r="D900" s="104"/>
      <c r="E900" s="105"/>
      <c r="K900" s="85"/>
      <c r="L900" s="85"/>
    </row>
    <row r="901">
      <c r="D901" s="104"/>
      <c r="E901" s="105"/>
      <c r="K901" s="85"/>
      <c r="L901" s="85"/>
    </row>
    <row r="902">
      <c r="D902" s="104"/>
      <c r="E902" s="105"/>
      <c r="K902" s="85"/>
      <c r="L902" s="85"/>
    </row>
    <row r="903">
      <c r="D903" s="104"/>
      <c r="E903" s="105"/>
      <c r="K903" s="85"/>
      <c r="L903" s="85"/>
    </row>
    <row r="904">
      <c r="D904" s="104"/>
      <c r="E904" s="105"/>
      <c r="K904" s="85"/>
      <c r="L904" s="85"/>
    </row>
    <row r="905">
      <c r="D905" s="104"/>
      <c r="E905" s="105"/>
      <c r="K905" s="85"/>
      <c r="L905" s="85"/>
    </row>
    <row r="906">
      <c r="D906" s="104"/>
      <c r="E906" s="105"/>
      <c r="K906" s="85"/>
      <c r="L906" s="85"/>
    </row>
    <row r="907">
      <c r="D907" s="104"/>
      <c r="E907" s="105"/>
      <c r="K907" s="85"/>
      <c r="L907" s="85"/>
    </row>
    <row r="908">
      <c r="D908" s="104"/>
      <c r="E908" s="105"/>
      <c r="K908" s="85"/>
      <c r="L908" s="85"/>
    </row>
    <row r="909">
      <c r="D909" s="104"/>
      <c r="E909" s="105"/>
      <c r="K909" s="85"/>
      <c r="L909" s="85"/>
    </row>
    <row r="910">
      <c r="D910" s="104"/>
      <c r="E910" s="105"/>
      <c r="K910" s="85"/>
      <c r="L910" s="85"/>
    </row>
    <row r="911">
      <c r="D911" s="104"/>
      <c r="E911" s="105"/>
      <c r="K911" s="85"/>
      <c r="L911" s="85"/>
    </row>
    <row r="912">
      <c r="D912" s="104"/>
      <c r="E912" s="105"/>
      <c r="K912" s="85"/>
      <c r="L912" s="85"/>
    </row>
    <row r="913">
      <c r="D913" s="104"/>
      <c r="E913" s="105"/>
      <c r="K913" s="85"/>
      <c r="L913" s="85"/>
    </row>
    <row r="914">
      <c r="D914" s="104"/>
      <c r="E914" s="105"/>
      <c r="K914" s="85"/>
      <c r="L914" s="85"/>
    </row>
    <row r="915">
      <c r="D915" s="104"/>
      <c r="E915" s="105"/>
      <c r="K915" s="85"/>
      <c r="L915" s="85"/>
    </row>
    <row r="916">
      <c r="D916" s="104"/>
      <c r="E916" s="105"/>
      <c r="K916" s="85"/>
      <c r="L916" s="85"/>
    </row>
    <row r="917">
      <c r="D917" s="104"/>
      <c r="E917" s="105"/>
      <c r="K917" s="85"/>
      <c r="L917" s="85"/>
    </row>
    <row r="918">
      <c r="D918" s="104"/>
      <c r="E918" s="105"/>
      <c r="K918" s="85"/>
      <c r="L918" s="85"/>
    </row>
    <row r="919">
      <c r="D919" s="104"/>
      <c r="E919" s="105"/>
      <c r="K919" s="85"/>
      <c r="L919" s="85"/>
    </row>
    <row r="920">
      <c r="D920" s="104"/>
      <c r="E920" s="105"/>
      <c r="K920" s="85"/>
      <c r="L920" s="85"/>
    </row>
    <row r="921">
      <c r="D921" s="104"/>
      <c r="E921" s="105"/>
      <c r="K921" s="85"/>
      <c r="L921" s="85"/>
    </row>
    <row r="922">
      <c r="D922" s="104"/>
      <c r="E922" s="105"/>
      <c r="K922" s="85"/>
      <c r="L922" s="85"/>
    </row>
    <row r="923">
      <c r="D923" s="104"/>
      <c r="E923" s="105"/>
      <c r="K923" s="85"/>
      <c r="L923" s="85"/>
    </row>
    <row r="924">
      <c r="D924" s="104"/>
      <c r="E924" s="105"/>
      <c r="K924" s="85"/>
      <c r="L924" s="85"/>
    </row>
    <row r="925">
      <c r="D925" s="104"/>
      <c r="E925" s="105"/>
      <c r="K925" s="85"/>
      <c r="L925" s="85"/>
    </row>
    <row r="926">
      <c r="D926" s="104"/>
      <c r="E926" s="105"/>
      <c r="K926" s="85"/>
      <c r="L926" s="85"/>
    </row>
    <row r="927">
      <c r="D927" s="104"/>
      <c r="E927" s="105"/>
      <c r="K927" s="85"/>
      <c r="L927" s="85"/>
    </row>
    <row r="928">
      <c r="D928" s="104"/>
      <c r="E928" s="105"/>
      <c r="K928" s="85"/>
      <c r="L928" s="85"/>
    </row>
    <row r="929">
      <c r="D929" s="104"/>
      <c r="E929" s="105"/>
      <c r="K929" s="85"/>
      <c r="L929" s="85"/>
    </row>
    <row r="930">
      <c r="D930" s="104"/>
      <c r="E930" s="105"/>
      <c r="K930" s="85"/>
      <c r="L930" s="85"/>
    </row>
    <row r="931">
      <c r="D931" s="104"/>
      <c r="E931" s="105"/>
      <c r="K931" s="85"/>
      <c r="L931" s="85"/>
    </row>
    <row r="932">
      <c r="D932" s="104"/>
      <c r="E932" s="105"/>
      <c r="K932" s="85"/>
      <c r="L932" s="85"/>
    </row>
    <row r="933">
      <c r="D933" s="104"/>
      <c r="E933" s="105"/>
      <c r="K933" s="85"/>
      <c r="L933" s="85"/>
    </row>
    <row r="934">
      <c r="D934" s="104"/>
      <c r="E934" s="105"/>
      <c r="K934" s="85"/>
      <c r="L934" s="85"/>
    </row>
    <row r="935">
      <c r="D935" s="104"/>
      <c r="E935" s="105"/>
      <c r="K935" s="85"/>
      <c r="L935" s="85"/>
    </row>
    <row r="936">
      <c r="D936" s="104"/>
      <c r="E936" s="105"/>
      <c r="K936" s="85"/>
      <c r="L936" s="85"/>
    </row>
    <row r="937">
      <c r="D937" s="104"/>
      <c r="E937" s="105"/>
      <c r="K937" s="85"/>
      <c r="L937" s="85"/>
    </row>
    <row r="938">
      <c r="D938" s="104"/>
      <c r="E938" s="105"/>
      <c r="K938" s="85"/>
      <c r="L938" s="85"/>
    </row>
    <row r="939">
      <c r="D939" s="104"/>
      <c r="E939" s="105"/>
      <c r="K939" s="85"/>
      <c r="L939" s="85"/>
    </row>
    <row r="940">
      <c r="D940" s="104"/>
      <c r="E940" s="105"/>
      <c r="K940" s="85"/>
      <c r="L940" s="85"/>
    </row>
    <row r="941">
      <c r="D941" s="104"/>
      <c r="E941" s="105"/>
      <c r="K941" s="85"/>
      <c r="L941" s="85"/>
    </row>
    <row r="942">
      <c r="D942" s="104"/>
      <c r="E942" s="105"/>
      <c r="K942" s="85"/>
      <c r="L942" s="85"/>
    </row>
    <row r="943">
      <c r="D943" s="104"/>
      <c r="E943" s="105"/>
      <c r="K943" s="85"/>
      <c r="L943" s="85"/>
    </row>
    <row r="944">
      <c r="D944" s="104"/>
      <c r="E944" s="105"/>
      <c r="K944" s="85"/>
      <c r="L944" s="85"/>
    </row>
    <row r="945">
      <c r="D945" s="104"/>
      <c r="E945" s="105"/>
      <c r="K945" s="85"/>
      <c r="L945" s="85"/>
    </row>
    <row r="946">
      <c r="D946" s="104"/>
      <c r="E946" s="105"/>
      <c r="K946" s="85"/>
      <c r="L946" s="85"/>
    </row>
    <row r="947">
      <c r="D947" s="104"/>
      <c r="E947" s="105"/>
      <c r="K947" s="85"/>
      <c r="L947" s="85"/>
    </row>
    <row r="948">
      <c r="D948" s="104"/>
      <c r="E948" s="105"/>
      <c r="K948" s="85"/>
      <c r="L948" s="85"/>
    </row>
    <row r="949">
      <c r="D949" s="104"/>
      <c r="E949" s="105"/>
      <c r="K949" s="85"/>
      <c r="L949" s="85"/>
    </row>
    <row r="950">
      <c r="D950" s="104"/>
      <c r="E950" s="105"/>
      <c r="K950" s="85"/>
      <c r="L950" s="85"/>
    </row>
    <row r="951">
      <c r="D951" s="104"/>
      <c r="E951" s="105"/>
      <c r="K951" s="85"/>
      <c r="L951" s="85"/>
    </row>
    <row r="952">
      <c r="D952" s="104"/>
      <c r="E952" s="105"/>
      <c r="K952" s="85"/>
      <c r="L952" s="85"/>
    </row>
    <row r="953">
      <c r="D953" s="104"/>
      <c r="E953" s="105"/>
      <c r="K953" s="85"/>
      <c r="L953" s="85"/>
    </row>
    <row r="954">
      <c r="D954" s="104"/>
      <c r="E954" s="105"/>
      <c r="K954" s="85"/>
      <c r="L954" s="85"/>
    </row>
    <row r="955">
      <c r="D955" s="104"/>
      <c r="E955" s="105"/>
      <c r="K955" s="85"/>
      <c r="L955" s="85"/>
    </row>
    <row r="956">
      <c r="D956" s="104"/>
      <c r="E956" s="105"/>
      <c r="K956" s="85"/>
      <c r="L956" s="85"/>
    </row>
    <row r="957">
      <c r="D957" s="104"/>
      <c r="E957" s="105"/>
      <c r="K957" s="85"/>
      <c r="L957" s="85"/>
    </row>
    <row r="958">
      <c r="D958" s="104"/>
      <c r="E958" s="105"/>
      <c r="K958" s="85"/>
      <c r="L958" s="85"/>
    </row>
    <row r="959">
      <c r="D959" s="104"/>
      <c r="E959" s="105"/>
      <c r="K959" s="85"/>
      <c r="L959" s="85"/>
    </row>
    <row r="960">
      <c r="D960" s="104"/>
      <c r="E960" s="105"/>
      <c r="K960" s="85"/>
      <c r="L960" s="85"/>
    </row>
    <row r="961">
      <c r="D961" s="104"/>
      <c r="E961" s="105"/>
      <c r="K961" s="85"/>
      <c r="L961" s="85"/>
    </row>
    <row r="962">
      <c r="D962" s="104"/>
      <c r="E962" s="105"/>
      <c r="K962" s="85"/>
      <c r="L962" s="85"/>
    </row>
    <row r="963">
      <c r="D963" s="104"/>
      <c r="E963" s="105"/>
      <c r="K963" s="85"/>
      <c r="L963" s="85"/>
    </row>
    <row r="964">
      <c r="D964" s="104"/>
      <c r="E964" s="105"/>
      <c r="K964" s="85"/>
      <c r="L964" s="85"/>
    </row>
    <row r="965">
      <c r="D965" s="104"/>
      <c r="E965" s="105"/>
      <c r="K965" s="85"/>
      <c r="L965" s="85"/>
    </row>
    <row r="966">
      <c r="D966" s="104"/>
      <c r="E966" s="105"/>
      <c r="K966" s="85"/>
      <c r="L966" s="85"/>
    </row>
    <row r="967">
      <c r="D967" s="104"/>
      <c r="E967" s="105"/>
      <c r="K967" s="85"/>
      <c r="L967" s="85"/>
    </row>
    <row r="968">
      <c r="D968" s="104"/>
      <c r="E968" s="105"/>
      <c r="K968" s="85"/>
      <c r="L968" s="85"/>
    </row>
    <row r="969">
      <c r="D969" s="104"/>
      <c r="E969" s="105"/>
      <c r="K969" s="85"/>
      <c r="L969" s="85"/>
    </row>
    <row r="970">
      <c r="D970" s="104"/>
      <c r="E970" s="105"/>
      <c r="K970" s="85"/>
      <c r="L970" s="85"/>
    </row>
    <row r="971">
      <c r="D971" s="104"/>
      <c r="E971" s="105"/>
      <c r="K971" s="85"/>
      <c r="L971" s="85"/>
    </row>
    <row r="972">
      <c r="D972" s="104"/>
      <c r="E972" s="105"/>
      <c r="K972" s="85"/>
      <c r="L972" s="85"/>
    </row>
    <row r="973">
      <c r="D973" s="104"/>
      <c r="E973" s="105"/>
      <c r="K973" s="85"/>
      <c r="L973" s="85"/>
    </row>
    <row r="974">
      <c r="D974" s="104"/>
      <c r="E974" s="105"/>
      <c r="K974" s="85"/>
      <c r="L974" s="85"/>
    </row>
    <row r="975">
      <c r="D975" s="104"/>
      <c r="E975" s="105"/>
      <c r="K975" s="85"/>
      <c r="L975" s="85"/>
    </row>
    <row r="976">
      <c r="D976" s="104"/>
      <c r="E976" s="105"/>
      <c r="K976" s="85"/>
      <c r="L976" s="85"/>
    </row>
    <row r="977">
      <c r="D977" s="104"/>
      <c r="E977" s="105"/>
      <c r="K977" s="85"/>
      <c r="L977" s="85"/>
    </row>
    <row r="978">
      <c r="D978" s="104"/>
      <c r="E978" s="105"/>
      <c r="K978" s="85"/>
      <c r="L978" s="85"/>
    </row>
    <row r="979">
      <c r="D979" s="104"/>
      <c r="E979" s="105"/>
      <c r="K979" s="85"/>
      <c r="L979" s="85"/>
    </row>
    <row r="980">
      <c r="D980" s="104"/>
      <c r="E980" s="105"/>
      <c r="K980" s="85"/>
      <c r="L980" s="85"/>
    </row>
    <row r="981">
      <c r="D981" s="104"/>
      <c r="E981" s="105"/>
      <c r="K981" s="85"/>
      <c r="L981" s="85"/>
    </row>
    <row r="982">
      <c r="D982" s="104"/>
      <c r="E982" s="105"/>
      <c r="K982" s="85"/>
      <c r="L982" s="85"/>
    </row>
    <row r="983">
      <c r="D983" s="104"/>
      <c r="E983" s="105"/>
      <c r="K983" s="85"/>
      <c r="L983" s="85"/>
    </row>
    <row r="984">
      <c r="D984" s="104"/>
      <c r="E984" s="105"/>
      <c r="K984" s="85"/>
      <c r="L984" s="85"/>
    </row>
    <row r="985">
      <c r="D985" s="104"/>
      <c r="E985" s="105"/>
      <c r="K985" s="85"/>
      <c r="L985" s="85"/>
    </row>
    <row r="986">
      <c r="D986" s="104"/>
      <c r="E986" s="105"/>
      <c r="K986" s="85"/>
      <c r="L986" s="85"/>
    </row>
    <row r="987">
      <c r="D987" s="104"/>
      <c r="E987" s="105"/>
      <c r="K987" s="85"/>
      <c r="L987" s="85"/>
    </row>
    <row r="988">
      <c r="D988" s="104"/>
      <c r="E988" s="105"/>
      <c r="K988" s="85"/>
      <c r="L988" s="85"/>
    </row>
    <row r="989">
      <c r="D989" s="104"/>
      <c r="E989" s="105"/>
      <c r="K989" s="85"/>
      <c r="L989" s="85"/>
    </row>
    <row r="990">
      <c r="D990" s="104"/>
      <c r="E990" s="105"/>
      <c r="K990" s="85"/>
      <c r="L990" s="85"/>
    </row>
    <row r="991">
      <c r="D991" s="104"/>
      <c r="E991" s="105"/>
      <c r="K991" s="85"/>
      <c r="L991" s="85"/>
    </row>
    <row r="992">
      <c r="D992" s="104"/>
      <c r="E992" s="105"/>
      <c r="K992" s="85"/>
      <c r="L992" s="85"/>
    </row>
    <row r="993">
      <c r="D993" s="104"/>
      <c r="E993" s="105"/>
      <c r="K993" s="85"/>
      <c r="L993" s="85"/>
    </row>
    <row r="994">
      <c r="D994" s="104"/>
      <c r="E994" s="105"/>
      <c r="K994" s="85"/>
      <c r="L994" s="85"/>
    </row>
    <row r="995">
      <c r="D995" s="104"/>
      <c r="E995" s="105"/>
      <c r="K995" s="85"/>
      <c r="L995" s="85"/>
    </row>
    <row r="996">
      <c r="D996" s="104"/>
      <c r="E996" s="105"/>
      <c r="K996" s="85"/>
      <c r="L996" s="85"/>
    </row>
    <row r="997">
      <c r="D997" s="104"/>
      <c r="E997" s="105"/>
      <c r="K997" s="85"/>
      <c r="L997" s="85"/>
    </row>
    <row r="998">
      <c r="D998" s="104"/>
      <c r="E998" s="105"/>
      <c r="K998" s="85"/>
      <c r="L998" s="85"/>
    </row>
    <row r="999">
      <c r="D999" s="104"/>
      <c r="E999" s="105"/>
      <c r="K999" s="85"/>
      <c r="L999" s="85"/>
    </row>
    <row r="1000">
      <c r="D1000" s="104"/>
      <c r="E1000" s="105"/>
      <c r="K1000" s="85"/>
      <c r="L1000" s="85"/>
    </row>
    <row r="1001">
      <c r="D1001" s="104"/>
      <c r="E1001" s="105"/>
      <c r="K1001" s="85"/>
      <c r="L1001" s="85"/>
    </row>
    <row r="1002">
      <c r="D1002" s="104"/>
      <c r="E1002" s="105"/>
      <c r="K1002" s="85"/>
      <c r="L1002" s="85"/>
    </row>
    <row r="1003">
      <c r="D1003" s="104"/>
      <c r="E1003" s="105"/>
      <c r="K1003" s="85"/>
      <c r="L1003" s="85"/>
    </row>
    <row r="1004">
      <c r="D1004" s="104"/>
      <c r="E1004" s="105"/>
      <c r="K1004" s="85"/>
      <c r="L1004" s="85"/>
    </row>
    <row r="1005">
      <c r="D1005" s="104"/>
      <c r="E1005" s="105"/>
      <c r="K1005" s="85"/>
      <c r="L1005" s="85"/>
    </row>
  </sheetData>
  <mergeCells count="1">
    <mergeCell ref="K2:L2"/>
  </mergeCells>
  <dataValidations>
    <dataValidation type="list" allowBlank="1" showErrorMessage="1" sqref="E6">
      <formula1>Tcentrocustos</formula1>
    </dataValidation>
    <dataValidation type="list" allowBlank="1" showErrorMessage="1" sqref="E4">
      <formula1>Meses</formula1>
    </dataValidation>
    <dataValidation type="list" allowBlank="1" showErrorMessage="1" sqref="E5">
      <formula1>Tclientes</formula1>
    </dataValidation>
    <dataValidation type="list" allowBlank="1" showErrorMessage="1" sqref="E3">
      <formula1>"2022,2023,2024,2025,2026,2027,2028,2029,2030"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0"/>
    <col customWidth="1" min="2" max="2" width="29.88"/>
    <col customWidth="1" min="3" max="3" width="19.25"/>
    <col customWidth="1" min="4" max="4" width="16.38"/>
    <col customWidth="1" min="5" max="5" width="20.5"/>
    <col customWidth="1" min="6" max="6" width="16.25"/>
    <col customWidth="1" min="9" max="9" width="5.38"/>
    <col customWidth="1" min="10" max="10" width="12.88"/>
  </cols>
  <sheetData>
    <row r="1" ht="9.0" customHeight="1">
      <c r="A1" s="4"/>
      <c r="B1" s="4"/>
      <c r="C1" s="6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71"/>
      <c r="P1" s="4"/>
    </row>
    <row r="2">
      <c r="B2" s="10" t="s">
        <v>166</v>
      </c>
      <c r="D2" s="72" t="s">
        <v>167</v>
      </c>
      <c r="H2" s="73"/>
      <c r="K2" s="92" t="s">
        <v>168</v>
      </c>
    </row>
    <row r="3">
      <c r="D3" s="75" t="s">
        <v>169</v>
      </c>
      <c r="E3" s="76">
        <v>2025.0</v>
      </c>
      <c r="I3" s="77"/>
      <c r="K3" s="93" t="s">
        <v>170</v>
      </c>
      <c r="L3" s="94">
        <f>DATE( 'Contas a Pagar'!E3,VLOOKUP('Contas a Pagar'!$E$4,X!$I$2:$J$14,2,FALSE),1)</f>
        <v>45658</v>
      </c>
    </row>
    <row r="4">
      <c r="B4" s="95" t="s">
        <v>179</v>
      </c>
      <c r="C4" s="81"/>
      <c r="D4" s="82" t="s">
        <v>172</v>
      </c>
      <c r="E4" s="83" t="s">
        <v>173</v>
      </c>
      <c r="F4" s="81"/>
      <c r="G4" s="81"/>
      <c r="H4" s="81"/>
      <c r="I4" s="81"/>
      <c r="J4" s="81"/>
      <c r="K4" s="81"/>
      <c r="L4" s="97"/>
    </row>
    <row r="5" ht="24.0" customHeight="1">
      <c r="B5" s="98">
        <f>SUM(E9:E1005)</f>
        <v>55313</v>
      </c>
      <c r="D5" s="82" t="s">
        <v>147</v>
      </c>
      <c r="E5" s="87" t="s">
        <v>173</v>
      </c>
      <c r="I5" s="77"/>
      <c r="J5" s="88"/>
      <c r="K5" s="93" t="s">
        <v>175</v>
      </c>
      <c r="L5" s="94">
        <f>IF('Contas a Pagar'!E4="Todos",EDATE(L3,12),EDATE(L3,1))</f>
        <v>46023</v>
      </c>
    </row>
    <row r="6">
      <c r="D6" s="89" t="s">
        <v>176</v>
      </c>
      <c r="E6" s="34" t="s">
        <v>173</v>
      </c>
    </row>
    <row r="8">
      <c r="B8" s="99" t="s">
        <v>177</v>
      </c>
      <c r="C8" s="100" t="s">
        <v>12</v>
      </c>
      <c r="D8" s="101" t="s">
        <v>178</v>
      </c>
      <c r="E8" s="101" t="s">
        <v>162</v>
      </c>
    </row>
    <row r="9">
      <c r="B9" s="96" t="str">
        <f>IFERROR(__xludf.DUMMYFUNCTION("IFERROR(
  INDEX(
    SORT(
      FILTER(
        {Saidas[Data do Pagamento],Saidas[Descrição]},
        Saidas[Status]=""Previsto"",
        Saidas[Data do Pagamento]&gt;='Contas a Pagar'!$L$3,
        Saidas[Data do Pagamento]&lt;'Contas a Pagar'!$L$5,
      "&amp;"  IF($E$5=""Todos"", Saidas[Fornecedor]&lt;&gt;""-"", Saidas[Fornecedor]=$E$5),
        IF(E6=""Todos"", Saidas[Centro de Custos]&lt;&gt;""-"", Saidas[Centro de Custos]=E6)
      ),
      1, TRUE
    ),
    ,2
  ),
  ""Não há contas com o filtro selecionado""
)
"),"Compra de queijo")</f>
        <v>Compra de queijo</v>
      </c>
      <c r="C9" s="96" t="str">
        <f>IFERROR(__xludf.DUMMYFUNCTION("IFERROR(
  INDEX(
    SORT(
      FILTER(
        {Saidas[Data do Pagamento],Saidas[Fornecedor]},
        Saidas[Status]=""Previsto"",
        Saidas[Data do Pagamento]&gt;='Contas a Pagar'!$L$3,
        Saidas[Data do Pagamento]&lt;'Contas a Pagar'!$L$5,
     "&amp;"   IF($E$5=""Todos"", Saidas[Fornecedor]&lt;&gt;""-"", Saidas[Fornecedor]=$E$5),
        IF(E6=""Todos"", Saidas[Centro de Custos]&lt;&gt;""-"", Saidas[Centro de Custos]=E6)
      ),
      1, TRUE
    ),
    ,2
  ),
  ""Não há contas com o filtro selecionado""
)
"),"Fornecedor 01")</f>
        <v>Fornecedor 01</v>
      </c>
      <c r="D9" s="102">
        <f>IFERROR(__xludf.DUMMYFUNCTION("IFERROR(
  INDEX(
    SORT(
      FILTER(
        {Saidas[Data do Pagamento],Saidas[Data do Pagamento]},
        Saidas[Status]=""Previsto"",
        Saidas[Data do Pagamento]&gt;='Contas a Pagar'!$L$3,
        Saidas[Data do Pagamento]&lt;'Contas a Pagar'!$L$5"&amp;",
        IF($E$5=""Todos"", Saidas[Fornecedor]&lt;&gt;""-"", Saidas[Fornecedor]=$E$5),
        IF(E6=""Todos"", Saidas[Centro de Custos]&lt;&gt;""-"", Saidas[Centro de Custos]=E6)
      ),
      1, TRUE
    ),
    ,2
  ),
  ""Não há contas com o filtro selecionado"""&amp;"
)
"),45973.0)</f>
        <v>45973</v>
      </c>
      <c r="E9" s="103">
        <f>IFERROR(__xludf.DUMMYFUNCTION("IFERROR(
  INDEX(
    SORT(
      FILTER(
        {Saidas[Data do Pagamento],Saidas[Valores]},
        Saidas[Status]=""Previsto"",
        Saidas[Data do Pagamento]&gt;='Contas a Pagar'!$L$3,
        Saidas[Data do Pagamento]&lt;'Contas a Pagar'!$L$5,
        "&amp;"IF($E$5=""Todos"", Saidas[Fornecedor]&lt;&gt;""-"", Saidas[Fornecedor]=$E$5),
        IF(E6=""Todos"", Saidas[Centro de Custos]&lt;&gt;""-"", Saidas[Centro de Custos]=E6)
      ),
      1, TRUE
    ),
    ,2
  ),
  ""Não há contas com o filtro selecionado""
)
"),123.0)</f>
        <v>123</v>
      </c>
    </row>
    <row r="10">
      <c r="B10" s="96" t="str">
        <f>IFERROR(__xludf.DUMMYFUNCTION("""COMPUTED_VALUE"""),"Salário José")</f>
        <v>Salário José</v>
      </c>
      <c r="C10" s="96" t="str">
        <f>IFERROR(__xludf.DUMMYFUNCTION("""COMPUTED_VALUE"""),"Fornecedor 03")</f>
        <v>Fornecedor 03</v>
      </c>
      <c r="D10" s="102">
        <f>IFERROR(__xludf.DUMMYFUNCTION("""COMPUTED_VALUE"""),45975.0)</f>
        <v>45975</v>
      </c>
      <c r="E10" s="103">
        <f>IFERROR(__xludf.DUMMYFUNCTION("""COMPUTED_VALUE"""),1320.0)</f>
        <v>1320</v>
      </c>
    </row>
    <row r="11">
      <c r="B11" s="96" t="str">
        <f>IFERROR(__xludf.DUMMYFUNCTION("""COMPUTED_VALUE"""),"Salário Mária")</f>
        <v>Salário Mária</v>
      </c>
      <c r="C11" s="96" t="str">
        <f>IFERROR(__xludf.DUMMYFUNCTION("""COMPUTED_VALUE"""),"Fornecedor 01")</f>
        <v>Fornecedor 01</v>
      </c>
      <c r="D11" s="102">
        <f>IFERROR(__xludf.DUMMYFUNCTION("""COMPUTED_VALUE"""),45976.0)</f>
        <v>45976</v>
      </c>
      <c r="E11" s="103">
        <f>IFERROR(__xludf.DUMMYFUNCTION("""COMPUTED_VALUE"""),1320.0)</f>
        <v>1320</v>
      </c>
    </row>
    <row r="12">
      <c r="B12" s="96" t="str">
        <f>IFERROR(__xludf.DUMMYFUNCTION("""COMPUTED_VALUE"""),"Aluguel")</f>
        <v>Aluguel</v>
      </c>
      <c r="C12" s="96" t="str">
        <f>IFERROR(__xludf.DUMMYFUNCTION("""COMPUTED_VALUE"""),"Fornecedor 02")</f>
        <v>Fornecedor 02</v>
      </c>
      <c r="D12" s="102">
        <f>IFERROR(__xludf.DUMMYFUNCTION("""COMPUTED_VALUE"""),45977.0)</f>
        <v>45977</v>
      </c>
      <c r="E12" s="103">
        <f>IFERROR(__xludf.DUMMYFUNCTION("""COMPUTED_VALUE"""),1320.0)</f>
        <v>1320</v>
      </c>
    </row>
    <row r="13">
      <c r="B13" s="96" t="str">
        <f>IFERROR(__xludf.DUMMYFUNCTION("""COMPUTED_VALUE"""),"Luz")</f>
        <v>Luz</v>
      </c>
      <c r="C13" s="96" t="str">
        <f>IFERROR(__xludf.DUMMYFUNCTION("""COMPUTED_VALUE"""),"Fornecedor 03")</f>
        <v>Fornecedor 03</v>
      </c>
      <c r="D13" s="102">
        <f>IFERROR(__xludf.DUMMYFUNCTION("""COMPUTED_VALUE"""),45978.0)</f>
        <v>45978</v>
      </c>
      <c r="E13" s="103">
        <f>IFERROR(__xludf.DUMMYFUNCTION("""COMPUTED_VALUE"""),450.0)</f>
        <v>450</v>
      </c>
    </row>
    <row r="14">
      <c r="B14" s="96" t="str">
        <f>IFERROR(__xludf.DUMMYFUNCTION("""COMPUTED_VALUE"""),"Salário José")</f>
        <v>Salário José</v>
      </c>
      <c r="C14" s="96" t="str">
        <f>IFERROR(__xludf.DUMMYFUNCTION("""COMPUTED_VALUE"""),"Fornecedor 02")</f>
        <v>Fornecedor 02</v>
      </c>
      <c r="D14" s="102">
        <f>IFERROR(__xludf.DUMMYFUNCTION("""COMPUTED_VALUE"""),45980.0)</f>
        <v>45980</v>
      </c>
      <c r="E14" s="103">
        <f>IFERROR(__xludf.DUMMYFUNCTION("""COMPUTED_VALUE"""),1320.0)</f>
        <v>1320</v>
      </c>
    </row>
    <row r="15">
      <c r="B15" s="96" t="str">
        <f>IFERROR(__xludf.DUMMYFUNCTION("""COMPUTED_VALUE"""),"Salário Mária")</f>
        <v>Salário Mária</v>
      </c>
      <c r="C15" s="96" t="str">
        <f>IFERROR(__xludf.DUMMYFUNCTION("""COMPUTED_VALUE"""),"Fornecedor 03")</f>
        <v>Fornecedor 03</v>
      </c>
      <c r="D15" s="102">
        <f>IFERROR(__xludf.DUMMYFUNCTION("""COMPUTED_VALUE"""),45981.0)</f>
        <v>45981</v>
      </c>
      <c r="E15" s="103">
        <f>IFERROR(__xludf.DUMMYFUNCTION("""COMPUTED_VALUE"""),1320.0)</f>
        <v>1320</v>
      </c>
    </row>
    <row r="16">
      <c r="B16" s="96" t="str">
        <f>IFERROR(__xludf.DUMMYFUNCTION("""COMPUTED_VALUE"""),"Aluguel")</f>
        <v>Aluguel</v>
      </c>
      <c r="C16" s="96" t="str">
        <f>IFERROR(__xludf.DUMMYFUNCTION("""COMPUTED_VALUE"""),"Fornecedor 01")</f>
        <v>Fornecedor 01</v>
      </c>
      <c r="D16" s="102">
        <f>IFERROR(__xludf.DUMMYFUNCTION("""COMPUTED_VALUE"""),45982.0)</f>
        <v>45982</v>
      </c>
      <c r="E16" s="103">
        <f>IFERROR(__xludf.DUMMYFUNCTION("""COMPUTED_VALUE"""),2500.0)</f>
        <v>2500</v>
      </c>
    </row>
    <row r="17">
      <c r="B17" s="96" t="str">
        <f>IFERROR(__xludf.DUMMYFUNCTION("""COMPUTED_VALUE"""),"Salário José")</f>
        <v>Salário José</v>
      </c>
      <c r="C17" s="96" t="str">
        <f>IFERROR(__xludf.DUMMYFUNCTION("""COMPUTED_VALUE"""),"Fornecedor 01")</f>
        <v>Fornecedor 01</v>
      </c>
      <c r="D17" s="102">
        <f>IFERROR(__xludf.DUMMYFUNCTION("""COMPUTED_VALUE"""),45985.0)</f>
        <v>45985</v>
      </c>
      <c r="E17" s="103">
        <f>IFERROR(__xludf.DUMMYFUNCTION("""COMPUTED_VALUE"""),1320.0)</f>
        <v>1320</v>
      </c>
    </row>
    <row r="18">
      <c r="B18" s="96" t="str">
        <f>IFERROR(__xludf.DUMMYFUNCTION("""COMPUTED_VALUE"""),"Salário Mária")</f>
        <v>Salário Mária</v>
      </c>
      <c r="C18" s="96" t="str">
        <f>IFERROR(__xludf.DUMMYFUNCTION("""COMPUTED_VALUE"""),"Fornecedor 02")</f>
        <v>Fornecedor 02</v>
      </c>
      <c r="D18" s="102">
        <f>IFERROR(__xludf.DUMMYFUNCTION("""COMPUTED_VALUE"""),45986.0)</f>
        <v>45986</v>
      </c>
      <c r="E18" s="103">
        <f>IFERROR(__xludf.DUMMYFUNCTION("""COMPUTED_VALUE"""),1320.0)</f>
        <v>1320</v>
      </c>
    </row>
    <row r="19">
      <c r="B19" s="96" t="str">
        <f>IFERROR(__xludf.DUMMYFUNCTION("""COMPUTED_VALUE"""),"Custo da Mercadoria")</f>
        <v>Custo da Mercadoria</v>
      </c>
      <c r="C19" s="96" t="str">
        <f>IFERROR(__xludf.DUMMYFUNCTION("""COMPUTED_VALUE"""),"Fornecedor 03")</f>
        <v>Fornecedor 03</v>
      </c>
      <c r="D19" s="102">
        <f>IFERROR(__xludf.DUMMYFUNCTION("""COMPUTED_VALUE"""),45987.0)</f>
        <v>45987</v>
      </c>
      <c r="E19" s="103">
        <f>IFERROR(__xludf.DUMMYFUNCTION("""COMPUTED_VALUE"""),8000.0)</f>
        <v>8000</v>
      </c>
    </row>
    <row r="20">
      <c r="B20" s="96" t="str">
        <f>IFERROR(__xludf.DUMMYFUNCTION("""COMPUTED_VALUE"""),"Teste de caixa negativo")</f>
        <v>Teste de caixa negativo</v>
      </c>
      <c r="C20" s="96" t="str">
        <f>IFERROR(__xludf.DUMMYFUNCTION("""COMPUTED_VALUE"""),"Fornecedor 01")</f>
        <v>Fornecedor 01</v>
      </c>
      <c r="D20" s="102">
        <f>IFERROR(__xludf.DUMMYFUNCTION("""COMPUTED_VALUE"""),45988.0)</f>
        <v>45988</v>
      </c>
      <c r="E20" s="103">
        <f>IFERROR(__xludf.DUMMYFUNCTION("""COMPUTED_VALUE"""),35000.0)</f>
        <v>35000</v>
      </c>
    </row>
    <row r="21">
      <c r="B21" s="96"/>
      <c r="C21" s="96"/>
      <c r="D21" s="102"/>
      <c r="E21" s="103"/>
    </row>
    <row r="22">
      <c r="B22" s="96"/>
      <c r="C22" s="96"/>
      <c r="D22" s="102"/>
      <c r="E22" s="103"/>
    </row>
    <row r="23">
      <c r="B23" s="96"/>
      <c r="C23" s="96"/>
      <c r="D23" s="102"/>
      <c r="E23" s="103"/>
    </row>
    <row r="24">
      <c r="B24" s="96"/>
      <c r="C24" s="96"/>
      <c r="D24" s="102"/>
      <c r="E24" s="103"/>
    </row>
    <row r="25">
      <c r="B25" s="96"/>
      <c r="C25" s="96"/>
      <c r="D25" s="102"/>
      <c r="E25" s="103"/>
    </row>
    <row r="26">
      <c r="B26" s="96"/>
      <c r="C26" s="96"/>
      <c r="D26" s="102"/>
      <c r="E26" s="103"/>
    </row>
    <row r="27">
      <c r="B27" s="96"/>
      <c r="C27" s="96"/>
      <c r="D27" s="102"/>
      <c r="E27" s="103"/>
    </row>
    <row r="28">
      <c r="B28" s="96"/>
      <c r="C28" s="96"/>
      <c r="D28" s="102"/>
      <c r="E28" s="103"/>
    </row>
    <row r="29">
      <c r="B29" s="96"/>
      <c r="C29" s="96"/>
      <c r="D29" s="102"/>
      <c r="E29" s="103"/>
    </row>
    <row r="30">
      <c r="B30" s="96"/>
      <c r="C30" s="96"/>
      <c r="D30" s="102"/>
      <c r="E30" s="103"/>
    </row>
    <row r="31">
      <c r="B31" s="96"/>
      <c r="C31" s="96"/>
      <c r="D31" s="102"/>
      <c r="E31" s="103"/>
    </row>
    <row r="32">
      <c r="B32" s="96"/>
      <c r="C32" s="96"/>
      <c r="D32" s="102"/>
      <c r="E32" s="103"/>
    </row>
    <row r="33">
      <c r="B33" s="96"/>
      <c r="C33" s="96"/>
      <c r="D33" s="102"/>
      <c r="E33" s="103"/>
    </row>
    <row r="34">
      <c r="B34" s="96"/>
      <c r="C34" s="96"/>
      <c r="D34" s="102"/>
      <c r="E34" s="103"/>
    </row>
    <row r="35">
      <c r="B35" s="96"/>
      <c r="C35" s="96"/>
      <c r="D35" s="102"/>
      <c r="E35" s="103"/>
    </row>
    <row r="36">
      <c r="B36" s="96"/>
      <c r="C36" s="96"/>
      <c r="D36" s="102"/>
      <c r="E36" s="103"/>
    </row>
    <row r="37">
      <c r="B37" s="96"/>
      <c r="C37" s="96"/>
      <c r="D37" s="102"/>
      <c r="E37" s="103"/>
    </row>
    <row r="38">
      <c r="B38" s="96"/>
      <c r="C38" s="96"/>
      <c r="D38" s="102"/>
      <c r="E38" s="103"/>
    </row>
    <row r="39">
      <c r="B39" s="96"/>
      <c r="C39" s="96"/>
      <c r="D39" s="102"/>
      <c r="E39" s="103"/>
    </row>
    <row r="40">
      <c r="B40" s="96"/>
      <c r="C40" s="96"/>
      <c r="D40" s="102"/>
      <c r="E40" s="103"/>
    </row>
    <row r="41">
      <c r="B41" s="96"/>
      <c r="C41" s="96"/>
      <c r="D41" s="102"/>
      <c r="E41" s="103"/>
    </row>
    <row r="42">
      <c r="B42" s="96"/>
      <c r="C42" s="96"/>
      <c r="D42" s="102"/>
      <c r="E42" s="103"/>
    </row>
    <row r="43">
      <c r="B43" s="96"/>
      <c r="C43" s="96"/>
      <c r="D43" s="102"/>
      <c r="E43" s="103"/>
    </row>
    <row r="44">
      <c r="B44" s="96"/>
      <c r="C44" s="96"/>
      <c r="D44" s="102"/>
      <c r="E44" s="103"/>
    </row>
    <row r="45">
      <c r="B45" s="96"/>
      <c r="C45" s="96"/>
      <c r="D45" s="102"/>
      <c r="E45" s="103"/>
    </row>
    <row r="46">
      <c r="B46" s="96"/>
      <c r="C46" s="96"/>
      <c r="D46" s="102"/>
      <c r="E46" s="103"/>
    </row>
    <row r="47">
      <c r="B47" s="96"/>
      <c r="C47" s="96"/>
      <c r="D47" s="102"/>
      <c r="E47" s="103"/>
    </row>
    <row r="48">
      <c r="B48" s="96"/>
      <c r="C48" s="96"/>
      <c r="D48" s="102"/>
      <c r="E48" s="103"/>
    </row>
    <row r="49">
      <c r="B49" s="96"/>
      <c r="C49" s="96"/>
      <c r="D49" s="102"/>
      <c r="E49" s="103"/>
    </row>
    <row r="50">
      <c r="B50" s="96"/>
      <c r="C50" s="96"/>
      <c r="D50" s="102"/>
      <c r="E50" s="103"/>
    </row>
    <row r="51">
      <c r="B51" s="96"/>
      <c r="C51" s="96"/>
      <c r="D51" s="102"/>
      <c r="E51" s="103"/>
    </row>
    <row r="52">
      <c r="B52" s="96"/>
      <c r="C52" s="96"/>
      <c r="D52" s="102"/>
      <c r="E52" s="103"/>
    </row>
    <row r="53">
      <c r="B53" s="96"/>
      <c r="C53" s="96"/>
      <c r="D53" s="102"/>
      <c r="E53" s="103"/>
    </row>
    <row r="54">
      <c r="B54" s="96"/>
      <c r="C54" s="96"/>
      <c r="D54" s="102"/>
      <c r="E54" s="103"/>
    </row>
    <row r="55">
      <c r="D55" s="104"/>
      <c r="E55" s="105"/>
    </row>
    <row r="56">
      <c r="D56" s="104"/>
      <c r="E56" s="105"/>
    </row>
    <row r="57">
      <c r="D57" s="104"/>
      <c r="E57" s="105"/>
    </row>
    <row r="58">
      <c r="D58" s="104"/>
      <c r="E58" s="105"/>
    </row>
    <row r="59">
      <c r="D59" s="104"/>
      <c r="E59" s="105"/>
    </row>
    <row r="60">
      <c r="D60" s="104"/>
      <c r="E60" s="105"/>
    </row>
    <row r="61">
      <c r="D61" s="104"/>
      <c r="E61" s="105"/>
    </row>
    <row r="62">
      <c r="D62" s="104"/>
      <c r="E62" s="105"/>
    </row>
    <row r="63">
      <c r="D63" s="104"/>
      <c r="E63" s="105"/>
    </row>
    <row r="64">
      <c r="D64" s="104"/>
      <c r="E64" s="105"/>
    </row>
    <row r="65">
      <c r="D65" s="104"/>
      <c r="E65" s="105"/>
    </row>
    <row r="66">
      <c r="D66" s="104"/>
      <c r="E66" s="105"/>
    </row>
    <row r="67">
      <c r="D67" s="104"/>
      <c r="E67" s="105"/>
    </row>
    <row r="68">
      <c r="D68" s="104"/>
      <c r="E68" s="105"/>
    </row>
    <row r="69">
      <c r="D69" s="104"/>
      <c r="E69" s="105"/>
    </row>
    <row r="70">
      <c r="D70" s="104"/>
      <c r="E70" s="105"/>
    </row>
    <row r="71">
      <c r="D71" s="104"/>
      <c r="E71" s="105"/>
    </row>
    <row r="72">
      <c r="D72" s="104"/>
      <c r="E72" s="105"/>
    </row>
    <row r="73">
      <c r="D73" s="104"/>
      <c r="E73" s="105"/>
    </row>
    <row r="74">
      <c r="D74" s="104"/>
      <c r="E74" s="105"/>
    </row>
    <row r="75">
      <c r="D75" s="104"/>
      <c r="E75" s="105"/>
    </row>
    <row r="76">
      <c r="D76" s="104"/>
      <c r="E76" s="105"/>
    </row>
    <row r="77">
      <c r="D77" s="104"/>
      <c r="E77" s="105"/>
    </row>
    <row r="78">
      <c r="D78" s="104"/>
      <c r="E78" s="105"/>
    </row>
    <row r="79">
      <c r="D79" s="104"/>
      <c r="E79" s="105"/>
    </row>
    <row r="80">
      <c r="D80" s="104"/>
      <c r="E80" s="105"/>
    </row>
    <row r="81">
      <c r="D81" s="104"/>
      <c r="E81" s="105"/>
    </row>
    <row r="82">
      <c r="D82" s="104"/>
      <c r="E82" s="105"/>
    </row>
    <row r="83">
      <c r="D83" s="104"/>
      <c r="E83" s="105"/>
    </row>
    <row r="84">
      <c r="D84" s="104"/>
      <c r="E84" s="105"/>
    </row>
    <row r="85">
      <c r="D85" s="104"/>
      <c r="E85" s="105"/>
    </row>
    <row r="86">
      <c r="D86" s="104"/>
      <c r="E86" s="105"/>
    </row>
    <row r="87">
      <c r="D87" s="104"/>
      <c r="E87" s="105"/>
    </row>
    <row r="88">
      <c r="D88" s="104"/>
      <c r="E88" s="105"/>
    </row>
    <row r="89">
      <c r="D89" s="104"/>
      <c r="E89" s="105"/>
    </row>
    <row r="90">
      <c r="D90" s="104"/>
      <c r="E90" s="105"/>
    </row>
    <row r="91">
      <c r="D91" s="104"/>
      <c r="E91" s="105"/>
    </row>
    <row r="92">
      <c r="D92" s="104"/>
      <c r="E92" s="105"/>
    </row>
    <row r="93">
      <c r="D93" s="104"/>
      <c r="E93" s="105"/>
    </row>
    <row r="94">
      <c r="D94" s="104"/>
      <c r="E94" s="105"/>
    </row>
    <row r="95">
      <c r="D95" s="104"/>
      <c r="E95" s="105"/>
    </row>
    <row r="96">
      <c r="D96" s="104"/>
      <c r="E96" s="105"/>
    </row>
    <row r="97">
      <c r="D97" s="104"/>
      <c r="E97" s="105"/>
    </row>
    <row r="98">
      <c r="D98" s="104"/>
      <c r="E98" s="105"/>
    </row>
    <row r="99">
      <c r="D99" s="104"/>
      <c r="E99" s="105"/>
    </row>
    <row r="100">
      <c r="D100" s="104"/>
      <c r="E100" s="105"/>
    </row>
    <row r="101">
      <c r="D101" s="104"/>
      <c r="E101" s="105"/>
    </row>
    <row r="102">
      <c r="D102" s="104"/>
      <c r="E102" s="105"/>
    </row>
    <row r="103">
      <c r="D103" s="104"/>
      <c r="E103" s="105"/>
    </row>
    <row r="104">
      <c r="D104" s="104"/>
      <c r="E104" s="105"/>
    </row>
    <row r="105">
      <c r="D105" s="104"/>
      <c r="E105" s="105"/>
    </row>
    <row r="106">
      <c r="D106" s="104"/>
      <c r="E106" s="105"/>
    </row>
    <row r="107">
      <c r="D107" s="104"/>
      <c r="E107" s="105"/>
    </row>
    <row r="108">
      <c r="D108" s="104"/>
      <c r="E108" s="105"/>
    </row>
    <row r="109">
      <c r="D109" s="104"/>
      <c r="E109" s="105"/>
    </row>
    <row r="110">
      <c r="D110" s="104"/>
      <c r="E110" s="105"/>
    </row>
    <row r="111">
      <c r="D111" s="104"/>
      <c r="E111" s="105"/>
    </row>
    <row r="112">
      <c r="D112" s="104"/>
      <c r="E112" s="105"/>
    </row>
    <row r="113">
      <c r="D113" s="104"/>
      <c r="E113" s="105"/>
    </row>
    <row r="114">
      <c r="D114" s="104"/>
      <c r="E114" s="105"/>
    </row>
    <row r="115">
      <c r="D115" s="104"/>
      <c r="E115" s="105"/>
    </row>
    <row r="116">
      <c r="D116" s="104"/>
      <c r="E116" s="105"/>
    </row>
    <row r="117">
      <c r="D117" s="104"/>
      <c r="E117" s="105"/>
    </row>
    <row r="118">
      <c r="D118" s="104"/>
      <c r="E118" s="105"/>
    </row>
    <row r="119">
      <c r="D119" s="104"/>
      <c r="E119" s="105"/>
    </row>
    <row r="120">
      <c r="D120" s="104"/>
      <c r="E120" s="105"/>
    </row>
    <row r="121">
      <c r="D121" s="104"/>
      <c r="E121" s="105"/>
    </row>
    <row r="122">
      <c r="D122" s="104"/>
      <c r="E122" s="105"/>
    </row>
    <row r="123">
      <c r="D123" s="104"/>
      <c r="E123" s="105"/>
    </row>
    <row r="124">
      <c r="D124" s="104"/>
      <c r="E124" s="105"/>
    </row>
    <row r="125">
      <c r="D125" s="104"/>
      <c r="E125" s="105"/>
    </row>
    <row r="126">
      <c r="D126" s="104"/>
      <c r="E126" s="105"/>
    </row>
    <row r="127">
      <c r="D127" s="104"/>
      <c r="E127" s="105"/>
    </row>
    <row r="128">
      <c r="D128" s="104"/>
      <c r="E128" s="105"/>
    </row>
    <row r="129">
      <c r="D129" s="104"/>
      <c r="E129" s="105"/>
    </row>
    <row r="130">
      <c r="D130" s="104"/>
      <c r="E130" s="105"/>
    </row>
    <row r="131">
      <c r="D131" s="104"/>
      <c r="E131" s="105"/>
    </row>
    <row r="132">
      <c r="D132" s="104"/>
      <c r="E132" s="105"/>
    </row>
    <row r="133">
      <c r="D133" s="104"/>
      <c r="E133" s="105"/>
    </row>
    <row r="134">
      <c r="D134" s="104"/>
      <c r="E134" s="105"/>
    </row>
    <row r="135">
      <c r="D135" s="104"/>
      <c r="E135" s="105"/>
    </row>
    <row r="136">
      <c r="D136" s="104"/>
      <c r="E136" s="105"/>
    </row>
    <row r="137">
      <c r="D137" s="104"/>
      <c r="E137" s="105"/>
    </row>
    <row r="138">
      <c r="D138" s="104"/>
      <c r="E138" s="105"/>
    </row>
    <row r="139">
      <c r="D139" s="104"/>
      <c r="E139" s="105"/>
    </row>
    <row r="140">
      <c r="D140" s="104"/>
      <c r="E140" s="105"/>
    </row>
    <row r="141">
      <c r="D141" s="104"/>
      <c r="E141" s="105"/>
    </row>
    <row r="142">
      <c r="D142" s="104"/>
      <c r="E142" s="105"/>
    </row>
    <row r="143">
      <c r="D143" s="104"/>
      <c r="E143" s="105"/>
    </row>
    <row r="144">
      <c r="D144" s="104"/>
      <c r="E144" s="105"/>
    </row>
    <row r="145">
      <c r="D145" s="104"/>
      <c r="E145" s="105"/>
    </row>
    <row r="146">
      <c r="D146" s="104"/>
      <c r="E146" s="105"/>
    </row>
    <row r="147">
      <c r="D147" s="104"/>
      <c r="E147" s="105"/>
    </row>
    <row r="148">
      <c r="D148" s="104"/>
      <c r="E148" s="105"/>
    </row>
    <row r="149">
      <c r="D149" s="104"/>
      <c r="E149" s="105"/>
    </row>
    <row r="150">
      <c r="D150" s="104"/>
      <c r="E150" s="105"/>
    </row>
    <row r="151">
      <c r="D151" s="104"/>
      <c r="E151" s="105"/>
    </row>
    <row r="152">
      <c r="D152" s="104"/>
      <c r="E152" s="105"/>
    </row>
    <row r="153">
      <c r="D153" s="104"/>
      <c r="E153" s="105"/>
    </row>
    <row r="154">
      <c r="D154" s="104"/>
      <c r="E154" s="105"/>
    </row>
    <row r="155">
      <c r="D155" s="104"/>
      <c r="E155" s="105"/>
    </row>
    <row r="156">
      <c r="D156" s="104"/>
      <c r="E156" s="105"/>
    </row>
    <row r="157">
      <c r="D157" s="104"/>
      <c r="E157" s="105"/>
    </row>
    <row r="158">
      <c r="D158" s="104"/>
      <c r="E158" s="105"/>
    </row>
    <row r="159">
      <c r="D159" s="104"/>
      <c r="E159" s="105"/>
    </row>
    <row r="160">
      <c r="D160" s="104"/>
      <c r="E160" s="105"/>
    </row>
    <row r="161">
      <c r="D161" s="104"/>
      <c r="E161" s="105"/>
    </row>
    <row r="162">
      <c r="D162" s="104"/>
      <c r="E162" s="105"/>
    </row>
    <row r="163">
      <c r="D163" s="104"/>
      <c r="E163" s="105"/>
    </row>
    <row r="164">
      <c r="D164" s="104"/>
      <c r="E164" s="105"/>
    </row>
    <row r="165">
      <c r="D165" s="104"/>
      <c r="E165" s="105"/>
    </row>
    <row r="166">
      <c r="D166" s="104"/>
      <c r="E166" s="105"/>
    </row>
    <row r="167">
      <c r="D167" s="104"/>
      <c r="E167" s="105"/>
    </row>
    <row r="168">
      <c r="D168" s="104"/>
      <c r="E168" s="105"/>
    </row>
    <row r="169">
      <c r="D169" s="104"/>
      <c r="E169" s="105"/>
    </row>
    <row r="170">
      <c r="D170" s="104"/>
      <c r="E170" s="105"/>
    </row>
    <row r="171">
      <c r="D171" s="104"/>
      <c r="E171" s="105"/>
    </row>
    <row r="172">
      <c r="D172" s="104"/>
      <c r="E172" s="105"/>
    </row>
    <row r="173">
      <c r="D173" s="104"/>
      <c r="E173" s="105"/>
    </row>
    <row r="174">
      <c r="D174" s="104"/>
      <c r="E174" s="105"/>
    </row>
    <row r="175">
      <c r="D175" s="104"/>
      <c r="E175" s="105"/>
    </row>
    <row r="176">
      <c r="D176" s="104"/>
      <c r="E176" s="105"/>
    </row>
    <row r="177">
      <c r="D177" s="104"/>
      <c r="E177" s="105"/>
    </row>
    <row r="178">
      <c r="D178" s="104"/>
      <c r="E178" s="105"/>
    </row>
    <row r="179">
      <c r="D179" s="104"/>
      <c r="E179" s="105"/>
    </row>
    <row r="180">
      <c r="D180" s="104"/>
      <c r="E180" s="105"/>
    </row>
    <row r="181">
      <c r="D181" s="104"/>
      <c r="E181" s="105"/>
    </row>
    <row r="182">
      <c r="D182" s="104"/>
      <c r="E182" s="105"/>
    </row>
    <row r="183">
      <c r="D183" s="104"/>
      <c r="E183" s="105"/>
    </row>
    <row r="184">
      <c r="D184" s="104"/>
      <c r="E184" s="105"/>
    </row>
    <row r="185">
      <c r="D185" s="104"/>
      <c r="E185" s="105"/>
    </row>
    <row r="186">
      <c r="D186" s="104"/>
      <c r="E186" s="105"/>
    </row>
    <row r="187">
      <c r="D187" s="104"/>
      <c r="E187" s="105"/>
    </row>
    <row r="188">
      <c r="D188" s="104"/>
      <c r="E188" s="105"/>
    </row>
    <row r="189">
      <c r="D189" s="104"/>
      <c r="E189" s="105"/>
    </row>
    <row r="190">
      <c r="D190" s="104"/>
      <c r="E190" s="105"/>
    </row>
    <row r="191">
      <c r="D191" s="104"/>
      <c r="E191" s="105"/>
    </row>
    <row r="192">
      <c r="D192" s="104"/>
      <c r="E192" s="105"/>
    </row>
    <row r="193">
      <c r="D193" s="104"/>
      <c r="E193" s="105"/>
    </row>
    <row r="194">
      <c r="D194" s="104"/>
      <c r="E194" s="105"/>
    </row>
    <row r="195">
      <c r="D195" s="104"/>
      <c r="E195" s="105"/>
    </row>
    <row r="196">
      <c r="D196" s="104"/>
      <c r="E196" s="105"/>
    </row>
    <row r="197">
      <c r="D197" s="104"/>
      <c r="E197" s="105"/>
    </row>
    <row r="198">
      <c r="D198" s="104"/>
      <c r="E198" s="105"/>
    </row>
    <row r="199">
      <c r="D199" s="104"/>
      <c r="E199" s="105"/>
    </row>
    <row r="200">
      <c r="D200" s="104"/>
      <c r="E200" s="105"/>
    </row>
    <row r="201">
      <c r="D201" s="104"/>
      <c r="E201" s="105"/>
    </row>
    <row r="202">
      <c r="D202" s="104"/>
      <c r="E202" s="105"/>
    </row>
    <row r="203">
      <c r="D203" s="104"/>
      <c r="E203" s="105"/>
    </row>
    <row r="204">
      <c r="D204" s="104"/>
      <c r="E204" s="105"/>
    </row>
    <row r="205">
      <c r="D205" s="104"/>
      <c r="E205" s="105"/>
    </row>
    <row r="206">
      <c r="D206" s="104"/>
      <c r="E206" s="105"/>
    </row>
    <row r="207">
      <c r="D207" s="104"/>
      <c r="E207" s="105"/>
    </row>
    <row r="208">
      <c r="D208" s="104"/>
      <c r="E208" s="105"/>
    </row>
    <row r="209">
      <c r="D209" s="104"/>
      <c r="E209" s="105"/>
    </row>
    <row r="210">
      <c r="D210" s="104"/>
      <c r="E210" s="105"/>
    </row>
    <row r="211">
      <c r="D211" s="104"/>
      <c r="E211" s="105"/>
    </row>
    <row r="212">
      <c r="D212" s="104"/>
      <c r="E212" s="105"/>
    </row>
    <row r="213">
      <c r="D213" s="104"/>
      <c r="E213" s="105"/>
    </row>
    <row r="214">
      <c r="D214" s="104"/>
      <c r="E214" s="105"/>
    </row>
    <row r="215">
      <c r="D215" s="104"/>
      <c r="E215" s="105"/>
    </row>
    <row r="216">
      <c r="D216" s="104"/>
      <c r="E216" s="105"/>
    </row>
    <row r="217">
      <c r="D217" s="104"/>
      <c r="E217" s="105"/>
    </row>
    <row r="218">
      <c r="D218" s="104"/>
      <c r="E218" s="105"/>
    </row>
    <row r="219">
      <c r="D219" s="104"/>
      <c r="E219" s="105"/>
    </row>
    <row r="220">
      <c r="D220" s="104"/>
      <c r="E220" s="105"/>
    </row>
    <row r="221">
      <c r="D221" s="104"/>
      <c r="E221" s="105"/>
    </row>
    <row r="222">
      <c r="D222" s="104"/>
      <c r="E222" s="105"/>
    </row>
    <row r="223">
      <c r="D223" s="104"/>
      <c r="E223" s="105"/>
    </row>
    <row r="224">
      <c r="D224" s="104"/>
      <c r="E224" s="105"/>
    </row>
    <row r="225">
      <c r="D225" s="104"/>
      <c r="E225" s="105"/>
    </row>
    <row r="226">
      <c r="D226" s="104"/>
      <c r="E226" s="105"/>
    </row>
    <row r="227">
      <c r="D227" s="104"/>
      <c r="E227" s="105"/>
    </row>
    <row r="228">
      <c r="D228" s="104"/>
      <c r="E228" s="105"/>
    </row>
    <row r="229">
      <c r="D229" s="104"/>
      <c r="E229" s="105"/>
    </row>
    <row r="230">
      <c r="D230" s="104"/>
      <c r="E230" s="105"/>
    </row>
    <row r="231">
      <c r="D231" s="104"/>
      <c r="E231" s="105"/>
    </row>
    <row r="232">
      <c r="D232" s="104"/>
      <c r="E232" s="105"/>
    </row>
    <row r="233">
      <c r="D233" s="104"/>
      <c r="E233" s="105"/>
    </row>
    <row r="234">
      <c r="D234" s="104"/>
      <c r="E234" s="105"/>
    </row>
    <row r="235">
      <c r="D235" s="104"/>
      <c r="E235" s="105"/>
    </row>
    <row r="236">
      <c r="D236" s="104"/>
      <c r="E236" s="105"/>
    </row>
    <row r="237">
      <c r="D237" s="104"/>
      <c r="E237" s="105"/>
    </row>
    <row r="238">
      <c r="D238" s="104"/>
      <c r="E238" s="105"/>
    </row>
    <row r="239">
      <c r="D239" s="104"/>
      <c r="E239" s="105"/>
    </row>
    <row r="240">
      <c r="D240" s="104"/>
      <c r="E240" s="105"/>
    </row>
    <row r="241">
      <c r="D241" s="104"/>
      <c r="E241" s="105"/>
    </row>
    <row r="242">
      <c r="D242" s="104"/>
      <c r="E242" s="105"/>
    </row>
    <row r="243">
      <c r="D243" s="104"/>
      <c r="E243" s="105"/>
    </row>
    <row r="244">
      <c r="D244" s="104"/>
      <c r="E244" s="105"/>
    </row>
    <row r="245">
      <c r="D245" s="104"/>
      <c r="E245" s="105"/>
    </row>
    <row r="246">
      <c r="D246" s="104"/>
      <c r="E246" s="105"/>
    </row>
    <row r="247">
      <c r="D247" s="104"/>
      <c r="E247" s="105"/>
    </row>
    <row r="248">
      <c r="D248" s="104"/>
      <c r="E248" s="105"/>
    </row>
    <row r="249">
      <c r="D249" s="104"/>
      <c r="E249" s="105"/>
    </row>
    <row r="250">
      <c r="D250" s="104"/>
      <c r="E250" s="105"/>
    </row>
    <row r="251">
      <c r="D251" s="104"/>
      <c r="E251" s="105"/>
    </row>
    <row r="252">
      <c r="D252" s="104"/>
      <c r="E252" s="105"/>
    </row>
    <row r="253">
      <c r="D253" s="104"/>
      <c r="E253" s="105"/>
    </row>
    <row r="254">
      <c r="D254" s="104"/>
      <c r="E254" s="105"/>
    </row>
    <row r="255">
      <c r="D255" s="104"/>
      <c r="E255" s="105"/>
    </row>
    <row r="256">
      <c r="D256" s="104"/>
      <c r="E256" s="105"/>
    </row>
    <row r="257">
      <c r="D257" s="104"/>
      <c r="E257" s="105"/>
    </row>
    <row r="258">
      <c r="D258" s="104"/>
      <c r="E258" s="105"/>
    </row>
    <row r="259">
      <c r="D259" s="104"/>
      <c r="E259" s="105"/>
    </row>
    <row r="260">
      <c r="D260" s="104"/>
      <c r="E260" s="105"/>
    </row>
    <row r="261">
      <c r="D261" s="104"/>
      <c r="E261" s="105"/>
    </row>
    <row r="262">
      <c r="D262" s="104"/>
      <c r="E262" s="105"/>
    </row>
    <row r="263">
      <c r="D263" s="104"/>
      <c r="E263" s="105"/>
    </row>
    <row r="264">
      <c r="D264" s="104"/>
      <c r="E264" s="105"/>
    </row>
    <row r="265">
      <c r="D265" s="104"/>
      <c r="E265" s="105"/>
    </row>
    <row r="266">
      <c r="D266" s="104"/>
      <c r="E266" s="105"/>
    </row>
    <row r="267">
      <c r="D267" s="104"/>
      <c r="E267" s="105"/>
    </row>
    <row r="268">
      <c r="D268" s="104"/>
      <c r="E268" s="105"/>
    </row>
    <row r="269">
      <c r="D269" s="104"/>
      <c r="E269" s="105"/>
    </row>
    <row r="270">
      <c r="D270" s="104"/>
      <c r="E270" s="105"/>
    </row>
    <row r="271">
      <c r="D271" s="104"/>
      <c r="E271" s="105"/>
    </row>
    <row r="272">
      <c r="D272" s="104"/>
      <c r="E272" s="105"/>
    </row>
    <row r="273">
      <c r="D273" s="104"/>
      <c r="E273" s="105"/>
    </row>
    <row r="274">
      <c r="D274" s="104"/>
      <c r="E274" s="105"/>
    </row>
    <row r="275">
      <c r="D275" s="104"/>
      <c r="E275" s="105"/>
    </row>
    <row r="276">
      <c r="D276" s="104"/>
      <c r="E276" s="105"/>
    </row>
    <row r="277">
      <c r="D277" s="104"/>
      <c r="E277" s="105"/>
    </row>
    <row r="278">
      <c r="D278" s="104"/>
      <c r="E278" s="105"/>
    </row>
    <row r="279">
      <c r="D279" s="104"/>
      <c r="E279" s="105"/>
    </row>
    <row r="280">
      <c r="D280" s="104"/>
      <c r="E280" s="105"/>
    </row>
    <row r="281">
      <c r="D281" s="104"/>
      <c r="E281" s="105"/>
    </row>
    <row r="282">
      <c r="D282" s="104"/>
      <c r="E282" s="105"/>
    </row>
    <row r="283">
      <c r="D283" s="104"/>
      <c r="E283" s="105"/>
    </row>
    <row r="284">
      <c r="D284" s="104"/>
      <c r="E284" s="105"/>
    </row>
    <row r="285">
      <c r="D285" s="104"/>
      <c r="E285" s="105"/>
    </row>
    <row r="286">
      <c r="D286" s="104"/>
      <c r="E286" s="105"/>
    </row>
    <row r="287">
      <c r="D287" s="104"/>
      <c r="E287" s="105"/>
    </row>
    <row r="288">
      <c r="D288" s="104"/>
      <c r="E288" s="105"/>
    </row>
    <row r="289">
      <c r="D289" s="104"/>
      <c r="E289" s="105"/>
    </row>
    <row r="290">
      <c r="D290" s="104"/>
      <c r="E290" s="105"/>
    </row>
    <row r="291">
      <c r="D291" s="104"/>
      <c r="E291" s="105"/>
    </row>
    <row r="292">
      <c r="D292" s="104"/>
      <c r="E292" s="105"/>
    </row>
    <row r="293">
      <c r="D293" s="104"/>
      <c r="E293" s="105"/>
    </row>
    <row r="294">
      <c r="D294" s="104"/>
      <c r="E294" s="105"/>
    </row>
    <row r="295">
      <c r="D295" s="104"/>
      <c r="E295" s="105"/>
    </row>
    <row r="296">
      <c r="D296" s="104"/>
      <c r="E296" s="105"/>
    </row>
    <row r="297">
      <c r="D297" s="104"/>
      <c r="E297" s="105"/>
    </row>
    <row r="298">
      <c r="D298" s="104"/>
      <c r="E298" s="105"/>
    </row>
    <row r="299">
      <c r="D299" s="104"/>
      <c r="E299" s="105"/>
    </row>
    <row r="300">
      <c r="D300" s="104"/>
      <c r="E300" s="105"/>
    </row>
    <row r="301">
      <c r="D301" s="104"/>
      <c r="E301" s="105"/>
    </row>
    <row r="302">
      <c r="D302" s="104"/>
      <c r="E302" s="105"/>
    </row>
    <row r="303">
      <c r="D303" s="104"/>
      <c r="E303" s="105"/>
    </row>
    <row r="304">
      <c r="D304" s="104"/>
      <c r="E304" s="105"/>
    </row>
    <row r="305">
      <c r="D305" s="104"/>
      <c r="E305" s="105"/>
    </row>
    <row r="306">
      <c r="D306" s="104"/>
      <c r="E306" s="105"/>
    </row>
    <row r="307">
      <c r="D307" s="104"/>
      <c r="E307" s="105"/>
    </row>
    <row r="308">
      <c r="D308" s="104"/>
      <c r="E308" s="105"/>
    </row>
    <row r="309">
      <c r="D309" s="104"/>
      <c r="E309" s="105"/>
    </row>
    <row r="310">
      <c r="D310" s="104"/>
      <c r="E310" s="105"/>
    </row>
    <row r="311">
      <c r="D311" s="104"/>
      <c r="E311" s="105"/>
    </row>
    <row r="312">
      <c r="D312" s="104"/>
      <c r="E312" s="105"/>
    </row>
    <row r="313">
      <c r="D313" s="104"/>
      <c r="E313" s="105"/>
    </row>
    <row r="314">
      <c r="D314" s="104"/>
      <c r="E314" s="105"/>
    </row>
    <row r="315">
      <c r="D315" s="104"/>
      <c r="E315" s="105"/>
    </row>
    <row r="316">
      <c r="D316" s="104"/>
      <c r="E316" s="105"/>
    </row>
    <row r="317">
      <c r="D317" s="104"/>
      <c r="E317" s="105"/>
    </row>
    <row r="318">
      <c r="D318" s="104"/>
      <c r="E318" s="105"/>
    </row>
    <row r="319">
      <c r="D319" s="104"/>
      <c r="E319" s="105"/>
    </row>
    <row r="320">
      <c r="D320" s="104"/>
      <c r="E320" s="105"/>
    </row>
    <row r="321">
      <c r="D321" s="104"/>
      <c r="E321" s="105"/>
    </row>
    <row r="322">
      <c r="D322" s="104"/>
      <c r="E322" s="105"/>
    </row>
    <row r="323">
      <c r="D323" s="104"/>
      <c r="E323" s="105"/>
    </row>
    <row r="324">
      <c r="D324" s="104"/>
      <c r="E324" s="105"/>
    </row>
    <row r="325">
      <c r="D325" s="104"/>
      <c r="E325" s="105"/>
    </row>
    <row r="326">
      <c r="D326" s="104"/>
      <c r="E326" s="105"/>
    </row>
    <row r="327">
      <c r="D327" s="104"/>
      <c r="E327" s="105"/>
    </row>
    <row r="328">
      <c r="D328" s="104"/>
      <c r="E328" s="105"/>
    </row>
    <row r="329">
      <c r="D329" s="104"/>
      <c r="E329" s="105"/>
    </row>
    <row r="330">
      <c r="D330" s="104"/>
      <c r="E330" s="105"/>
    </row>
    <row r="331">
      <c r="D331" s="104"/>
      <c r="E331" s="105"/>
    </row>
    <row r="332">
      <c r="D332" s="104"/>
      <c r="E332" s="105"/>
    </row>
    <row r="333">
      <c r="D333" s="104"/>
      <c r="E333" s="105"/>
    </row>
    <row r="334">
      <c r="D334" s="104"/>
      <c r="E334" s="105"/>
    </row>
    <row r="335">
      <c r="D335" s="104"/>
      <c r="E335" s="105"/>
    </row>
    <row r="336">
      <c r="D336" s="104"/>
      <c r="E336" s="105"/>
    </row>
    <row r="337">
      <c r="D337" s="104"/>
      <c r="E337" s="105"/>
    </row>
    <row r="338">
      <c r="D338" s="104"/>
      <c r="E338" s="105"/>
    </row>
    <row r="339">
      <c r="D339" s="104"/>
      <c r="E339" s="105"/>
    </row>
    <row r="340">
      <c r="D340" s="104"/>
      <c r="E340" s="105"/>
    </row>
    <row r="341">
      <c r="D341" s="104"/>
      <c r="E341" s="105"/>
    </row>
    <row r="342">
      <c r="D342" s="104"/>
      <c r="E342" s="105"/>
    </row>
    <row r="343">
      <c r="D343" s="104"/>
      <c r="E343" s="105"/>
    </row>
    <row r="344">
      <c r="D344" s="104"/>
      <c r="E344" s="105"/>
    </row>
    <row r="345">
      <c r="D345" s="104"/>
      <c r="E345" s="105"/>
    </row>
    <row r="346">
      <c r="D346" s="104"/>
      <c r="E346" s="105"/>
    </row>
    <row r="347">
      <c r="D347" s="104"/>
      <c r="E347" s="105"/>
    </row>
    <row r="348">
      <c r="D348" s="104"/>
      <c r="E348" s="105"/>
    </row>
    <row r="349">
      <c r="D349" s="104"/>
      <c r="E349" s="105"/>
    </row>
    <row r="350">
      <c r="D350" s="104"/>
      <c r="E350" s="105"/>
    </row>
    <row r="351">
      <c r="D351" s="104"/>
      <c r="E351" s="105"/>
    </row>
    <row r="352">
      <c r="D352" s="104"/>
      <c r="E352" s="105"/>
    </row>
    <row r="353">
      <c r="D353" s="104"/>
      <c r="E353" s="105"/>
    </row>
    <row r="354">
      <c r="D354" s="104"/>
      <c r="E354" s="105"/>
    </row>
    <row r="355">
      <c r="D355" s="104"/>
      <c r="E355" s="105"/>
    </row>
    <row r="356">
      <c r="D356" s="104"/>
      <c r="E356" s="105"/>
    </row>
    <row r="357">
      <c r="D357" s="104"/>
      <c r="E357" s="105"/>
    </row>
    <row r="358">
      <c r="D358" s="104"/>
      <c r="E358" s="105"/>
    </row>
    <row r="359">
      <c r="D359" s="104"/>
      <c r="E359" s="105"/>
    </row>
    <row r="360">
      <c r="D360" s="104"/>
      <c r="E360" s="105"/>
    </row>
    <row r="361">
      <c r="D361" s="104"/>
      <c r="E361" s="105"/>
    </row>
    <row r="362">
      <c r="D362" s="104"/>
      <c r="E362" s="105"/>
    </row>
    <row r="363">
      <c r="D363" s="104"/>
      <c r="E363" s="105"/>
    </row>
    <row r="364">
      <c r="D364" s="104"/>
      <c r="E364" s="105"/>
    </row>
    <row r="365">
      <c r="D365" s="104"/>
      <c r="E365" s="105"/>
    </row>
    <row r="366">
      <c r="D366" s="104"/>
      <c r="E366" s="105"/>
    </row>
    <row r="367">
      <c r="D367" s="104"/>
      <c r="E367" s="105"/>
    </row>
    <row r="368">
      <c r="D368" s="104"/>
      <c r="E368" s="105"/>
    </row>
    <row r="369">
      <c r="D369" s="104"/>
      <c r="E369" s="105"/>
    </row>
    <row r="370">
      <c r="D370" s="104"/>
      <c r="E370" s="105"/>
    </row>
    <row r="371">
      <c r="D371" s="104"/>
      <c r="E371" s="105"/>
    </row>
    <row r="372">
      <c r="D372" s="104"/>
      <c r="E372" s="105"/>
    </row>
    <row r="373">
      <c r="D373" s="104"/>
      <c r="E373" s="105"/>
    </row>
    <row r="374">
      <c r="D374" s="104"/>
      <c r="E374" s="105"/>
    </row>
    <row r="375">
      <c r="D375" s="104"/>
      <c r="E375" s="105"/>
    </row>
    <row r="376">
      <c r="D376" s="104"/>
      <c r="E376" s="105"/>
    </row>
    <row r="377">
      <c r="D377" s="104"/>
      <c r="E377" s="105"/>
    </row>
    <row r="378">
      <c r="D378" s="104"/>
      <c r="E378" s="105"/>
    </row>
    <row r="379">
      <c r="D379" s="104"/>
      <c r="E379" s="105"/>
    </row>
    <row r="380">
      <c r="D380" s="104"/>
      <c r="E380" s="105"/>
    </row>
    <row r="381">
      <c r="D381" s="104"/>
      <c r="E381" s="105"/>
    </row>
    <row r="382">
      <c r="D382" s="104"/>
      <c r="E382" s="105"/>
    </row>
    <row r="383">
      <c r="D383" s="104"/>
      <c r="E383" s="105"/>
    </row>
    <row r="384">
      <c r="D384" s="104"/>
      <c r="E384" s="105"/>
    </row>
    <row r="385">
      <c r="D385" s="104"/>
      <c r="E385" s="105"/>
    </row>
    <row r="386">
      <c r="D386" s="104"/>
      <c r="E386" s="105"/>
    </row>
    <row r="387">
      <c r="D387" s="104"/>
      <c r="E387" s="105"/>
    </row>
    <row r="388">
      <c r="D388" s="104"/>
      <c r="E388" s="105"/>
    </row>
    <row r="389">
      <c r="D389" s="104"/>
      <c r="E389" s="105"/>
    </row>
    <row r="390">
      <c r="D390" s="104"/>
      <c r="E390" s="105"/>
    </row>
    <row r="391">
      <c r="D391" s="104"/>
      <c r="E391" s="105"/>
    </row>
    <row r="392">
      <c r="D392" s="104"/>
      <c r="E392" s="105"/>
    </row>
    <row r="393">
      <c r="D393" s="104"/>
      <c r="E393" s="105"/>
    </row>
    <row r="394">
      <c r="D394" s="104"/>
      <c r="E394" s="105"/>
    </row>
    <row r="395">
      <c r="D395" s="104"/>
      <c r="E395" s="105"/>
    </row>
    <row r="396">
      <c r="D396" s="104"/>
      <c r="E396" s="105"/>
    </row>
    <row r="397">
      <c r="D397" s="104"/>
      <c r="E397" s="105"/>
    </row>
    <row r="398">
      <c r="D398" s="104"/>
      <c r="E398" s="105"/>
    </row>
    <row r="399">
      <c r="D399" s="104"/>
      <c r="E399" s="105"/>
    </row>
    <row r="400">
      <c r="D400" s="104"/>
      <c r="E400" s="105"/>
    </row>
    <row r="401">
      <c r="D401" s="104"/>
      <c r="E401" s="105"/>
    </row>
    <row r="402">
      <c r="D402" s="104"/>
      <c r="E402" s="105"/>
    </row>
    <row r="403">
      <c r="D403" s="104"/>
      <c r="E403" s="105"/>
    </row>
    <row r="404">
      <c r="D404" s="104"/>
      <c r="E404" s="105"/>
    </row>
    <row r="405">
      <c r="D405" s="104"/>
      <c r="E405" s="105"/>
    </row>
    <row r="406">
      <c r="D406" s="104"/>
      <c r="E406" s="105"/>
    </row>
    <row r="407">
      <c r="D407" s="104"/>
      <c r="E407" s="105"/>
    </row>
    <row r="408">
      <c r="D408" s="104"/>
      <c r="E408" s="105"/>
    </row>
    <row r="409">
      <c r="D409" s="104"/>
      <c r="E409" s="105"/>
    </row>
    <row r="410">
      <c r="D410" s="104"/>
      <c r="E410" s="105"/>
    </row>
    <row r="411">
      <c r="D411" s="104"/>
      <c r="E411" s="105"/>
    </row>
    <row r="412">
      <c r="D412" s="104"/>
      <c r="E412" s="105"/>
    </row>
    <row r="413">
      <c r="D413" s="104"/>
      <c r="E413" s="105"/>
    </row>
    <row r="414">
      <c r="D414" s="104"/>
      <c r="E414" s="105"/>
    </row>
    <row r="415">
      <c r="D415" s="104"/>
      <c r="E415" s="105"/>
    </row>
    <row r="416">
      <c r="D416" s="104"/>
      <c r="E416" s="105"/>
    </row>
    <row r="417">
      <c r="D417" s="104"/>
      <c r="E417" s="105"/>
    </row>
    <row r="418">
      <c r="D418" s="104"/>
      <c r="E418" s="105"/>
    </row>
    <row r="419">
      <c r="D419" s="104"/>
      <c r="E419" s="105"/>
    </row>
    <row r="420">
      <c r="D420" s="104"/>
      <c r="E420" s="105"/>
    </row>
    <row r="421">
      <c r="D421" s="104"/>
      <c r="E421" s="105"/>
    </row>
    <row r="422">
      <c r="D422" s="104"/>
      <c r="E422" s="105"/>
    </row>
    <row r="423">
      <c r="D423" s="104"/>
      <c r="E423" s="105"/>
    </row>
    <row r="424">
      <c r="D424" s="104"/>
      <c r="E424" s="105"/>
    </row>
    <row r="425">
      <c r="D425" s="104"/>
      <c r="E425" s="105"/>
    </row>
    <row r="426">
      <c r="D426" s="104"/>
      <c r="E426" s="105"/>
    </row>
    <row r="427">
      <c r="D427" s="104"/>
      <c r="E427" s="105"/>
    </row>
    <row r="428">
      <c r="D428" s="104"/>
      <c r="E428" s="105"/>
    </row>
    <row r="429">
      <c r="D429" s="104"/>
      <c r="E429" s="105"/>
    </row>
    <row r="430">
      <c r="D430" s="104"/>
      <c r="E430" s="105"/>
    </row>
    <row r="431">
      <c r="D431" s="104"/>
      <c r="E431" s="105"/>
    </row>
    <row r="432">
      <c r="D432" s="104"/>
      <c r="E432" s="105"/>
    </row>
    <row r="433">
      <c r="D433" s="104"/>
      <c r="E433" s="105"/>
    </row>
    <row r="434">
      <c r="D434" s="104"/>
      <c r="E434" s="105"/>
    </row>
    <row r="435">
      <c r="D435" s="104"/>
      <c r="E435" s="105"/>
    </row>
    <row r="436">
      <c r="D436" s="104"/>
      <c r="E436" s="105"/>
    </row>
    <row r="437">
      <c r="D437" s="104"/>
      <c r="E437" s="105"/>
    </row>
    <row r="438">
      <c r="D438" s="104"/>
      <c r="E438" s="105"/>
    </row>
    <row r="439">
      <c r="D439" s="104"/>
      <c r="E439" s="105"/>
    </row>
    <row r="440">
      <c r="D440" s="104"/>
      <c r="E440" s="105"/>
    </row>
    <row r="441">
      <c r="D441" s="104"/>
      <c r="E441" s="105"/>
    </row>
    <row r="442">
      <c r="D442" s="104"/>
      <c r="E442" s="105"/>
    </row>
    <row r="443">
      <c r="D443" s="104"/>
      <c r="E443" s="105"/>
    </row>
    <row r="444">
      <c r="D444" s="104"/>
      <c r="E444" s="105"/>
    </row>
    <row r="445">
      <c r="D445" s="104"/>
      <c r="E445" s="105"/>
    </row>
    <row r="446">
      <c r="D446" s="104"/>
      <c r="E446" s="105"/>
    </row>
    <row r="447">
      <c r="D447" s="104"/>
      <c r="E447" s="105"/>
    </row>
    <row r="448">
      <c r="D448" s="104"/>
      <c r="E448" s="105"/>
    </row>
    <row r="449">
      <c r="D449" s="104"/>
      <c r="E449" s="105"/>
    </row>
    <row r="450">
      <c r="D450" s="104"/>
      <c r="E450" s="105"/>
    </row>
    <row r="451">
      <c r="D451" s="104"/>
      <c r="E451" s="105"/>
    </row>
    <row r="452">
      <c r="D452" s="104"/>
      <c r="E452" s="105"/>
    </row>
    <row r="453">
      <c r="D453" s="104"/>
      <c r="E453" s="105"/>
    </row>
    <row r="454">
      <c r="D454" s="104"/>
      <c r="E454" s="105"/>
    </row>
    <row r="455">
      <c r="D455" s="104"/>
      <c r="E455" s="105"/>
    </row>
    <row r="456">
      <c r="D456" s="104"/>
      <c r="E456" s="105"/>
    </row>
    <row r="457">
      <c r="D457" s="104"/>
      <c r="E457" s="105"/>
    </row>
    <row r="458">
      <c r="D458" s="104"/>
      <c r="E458" s="105"/>
    </row>
    <row r="459">
      <c r="D459" s="104"/>
      <c r="E459" s="105"/>
    </row>
    <row r="460">
      <c r="D460" s="104"/>
      <c r="E460" s="105"/>
    </row>
    <row r="461">
      <c r="D461" s="104"/>
      <c r="E461" s="105"/>
    </row>
    <row r="462">
      <c r="D462" s="104"/>
      <c r="E462" s="105"/>
    </row>
    <row r="463">
      <c r="D463" s="104"/>
      <c r="E463" s="105"/>
    </row>
    <row r="464">
      <c r="D464" s="104"/>
      <c r="E464" s="105"/>
    </row>
    <row r="465">
      <c r="D465" s="104"/>
      <c r="E465" s="105"/>
    </row>
    <row r="466">
      <c r="D466" s="104"/>
      <c r="E466" s="105"/>
    </row>
    <row r="467">
      <c r="D467" s="104"/>
      <c r="E467" s="105"/>
    </row>
    <row r="468">
      <c r="D468" s="104"/>
      <c r="E468" s="105"/>
    </row>
    <row r="469">
      <c r="D469" s="104"/>
      <c r="E469" s="105"/>
    </row>
    <row r="470">
      <c r="D470" s="104"/>
      <c r="E470" s="105"/>
    </row>
    <row r="471">
      <c r="D471" s="104"/>
      <c r="E471" s="105"/>
    </row>
    <row r="472">
      <c r="D472" s="104"/>
      <c r="E472" s="105"/>
    </row>
    <row r="473">
      <c r="D473" s="104"/>
      <c r="E473" s="105"/>
    </row>
    <row r="474">
      <c r="D474" s="104"/>
      <c r="E474" s="105"/>
    </row>
    <row r="475">
      <c r="D475" s="104"/>
      <c r="E475" s="105"/>
    </row>
    <row r="476">
      <c r="D476" s="104"/>
      <c r="E476" s="105"/>
    </row>
    <row r="477">
      <c r="D477" s="104"/>
      <c r="E477" s="105"/>
    </row>
    <row r="478">
      <c r="D478" s="104"/>
      <c r="E478" s="105"/>
    </row>
    <row r="479">
      <c r="D479" s="104"/>
      <c r="E479" s="105"/>
    </row>
    <row r="480">
      <c r="D480" s="104"/>
      <c r="E480" s="105"/>
    </row>
    <row r="481">
      <c r="D481" s="104"/>
      <c r="E481" s="105"/>
    </row>
    <row r="482">
      <c r="D482" s="104"/>
      <c r="E482" s="105"/>
    </row>
    <row r="483">
      <c r="D483" s="104"/>
      <c r="E483" s="105"/>
    </row>
    <row r="484">
      <c r="D484" s="104"/>
      <c r="E484" s="105"/>
    </row>
    <row r="485">
      <c r="D485" s="104"/>
      <c r="E485" s="105"/>
    </row>
    <row r="486">
      <c r="D486" s="104"/>
      <c r="E486" s="105"/>
    </row>
    <row r="487">
      <c r="D487" s="104"/>
      <c r="E487" s="105"/>
    </row>
    <row r="488">
      <c r="D488" s="104"/>
      <c r="E488" s="105"/>
    </row>
    <row r="489">
      <c r="D489" s="104"/>
      <c r="E489" s="105"/>
    </row>
    <row r="490">
      <c r="D490" s="104"/>
      <c r="E490" s="105"/>
    </row>
    <row r="491">
      <c r="D491" s="104"/>
      <c r="E491" s="105"/>
    </row>
    <row r="492">
      <c r="D492" s="104"/>
      <c r="E492" s="105"/>
    </row>
    <row r="493">
      <c r="D493" s="104"/>
      <c r="E493" s="105"/>
    </row>
    <row r="494">
      <c r="D494" s="104"/>
      <c r="E494" s="105"/>
    </row>
    <row r="495">
      <c r="D495" s="104"/>
      <c r="E495" s="105"/>
    </row>
    <row r="496">
      <c r="D496" s="104"/>
      <c r="E496" s="105"/>
    </row>
    <row r="497">
      <c r="D497" s="104"/>
      <c r="E497" s="105"/>
    </row>
    <row r="498">
      <c r="D498" s="104"/>
      <c r="E498" s="105"/>
    </row>
    <row r="499">
      <c r="D499" s="104"/>
      <c r="E499" s="105"/>
    </row>
    <row r="500">
      <c r="D500" s="104"/>
      <c r="E500" s="105"/>
    </row>
    <row r="501">
      <c r="D501" s="104"/>
      <c r="E501" s="105"/>
    </row>
    <row r="502">
      <c r="D502" s="104"/>
      <c r="E502" s="105"/>
    </row>
    <row r="503">
      <c r="D503" s="104"/>
      <c r="E503" s="105"/>
    </row>
    <row r="504">
      <c r="D504" s="104"/>
      <c r="E504" s="105"/>
    </row>
    <row r="505">
      <c r="D505" s="104"/>
      <c r="E505" s="105"/>
    </row>
    <row r="506">
      <c r="D506" s="104"/>
      <c r="E506" s="105"/>
    </row>
    <row r="507">
      <c r="D507" s="104"/>
      <c r="E507" s="105"/>
    </row>
    <row r="508">
      <c r="D508" s="104"/>
      <c r="E508" s="105"/>
    </row>
    <row r="509">
      <c r="D509" s="104"/>
      <c r="E509" s="105"/>
    </row>
    <row r="510">
      <c r="D510" s="104"/>
      <c r="E510" s="105"/>
    </row>
    <row r="511">
      <c r="D511" s="104"/>
      <c r="E511" s="105"/>
    </row>
    <row r="512">
      <c r="D512" s="104"/>
      <c r="E512" s="105"/>
    </row>
    <row r="513">
      <c r="D513" s="104"/>
      <c r="E513" s="105"/>
    </row>
    <row r="514">
      <c r="D514" s="104"/>
      <c r="E514" s="105"/>
    </row>
    <row r="515">
      <c r="D515" s="104"/>
      <c r="E515" s="105"/>
    </row>
    <row r="516">
      <c r="D516" s="104"/>
      <c r="E516" s="105"/>
    </row>
    <row r="517">
      <c r="D517" s="104"/>
      <c r="E517" s="105"/>
    </row>
    <row r="518">
      <c r="D518" s="104"/>
      <c r="E518" s="105"/>
    </row>
    <row r="519">
      <c r="D519" s="104"/>
      <c r="E519" s="105"/>
    </row>
    <row r="520">
      <c r="D520" s="104"/>
      <c r="E520" s="105"/>
    </row>
    <row r="521">
      <c r="D521" s="104"/>
      <c r="E521" s="105"/>
    </row>
    <row r="522">
      <c r="D522" s="104"/>
      <c r="E522" s="105"/>
    </row>
    <row r="523">
      <c r="D523" s="104"/>
      <c r="E523" s="105"/>
    </row>
    <row r="524">
      <c r="D524" s="104"/>
      <c r="E524" s="105"/>
    </row>
    <row r="525">
      <c r="D525" s="104"/>
      <c r="E525" s="105"/>
    </row>
    <row r="526">
      <c r="D526" s="104"/>
      <c r="E526" s="105"/>
    </row>
    <row r="527">
      <c r="D527" s="104"/>
      <c r="E527" s="105"/>
    </row>
    <row r="528">
      <c r="D528" s="104"/>
      <c r="E528" s="105"/>
    </row>
    <row r="529">
      <c r="D529" s="104"/>
      <c r="E529" s="105"/>
    </row>
    <row r="530">
      <c r="D530" s="104"/>
      <c r="E530" s="105"/>
    </row>
    <row r="531">
      <c r="D531" s="104"/>
      <c r="E531" s="105"/>
    </row>
    <row r="532">
      <c r="D532" s="104"/>
      <c r="E532" s="105"/>
    </row>
    <row r="533">
      <c r="D533" s="104"/>
      <c r="E533" s="105"/>
    </row>
    <row r="534">
      <c r="D534" s="104"/>
      <c r="E534" s="105"/>
    </row>
    <row r="535">
      <c r="D535" s="104"/>
      <c r="E535" s="105"/>
    </row>
    <row r="536">
      <c r="D536" s="104"/>
      <c r="E536" s="105"/>
    </row>
    <row r="537">
      <c r="D537" s="104"/>
      <c r="E537" s="105"/>
    </row>
    <row r="538">
      <c r="D538" s="104"/>
      <c r="E538" s="105"/>
    </row>
    <row r="539">
      <c r="D539" s="104"/>
      <c r="E539" s="105"/>
    </row>
    <row r="540">
      <c r="D540" s="104"/>
      <c r="E540" s="105"/>
    </row>
    <row r="541">
      <c r="D541" s="104"/>
      <c r="E541" s="105"/>
    </row>
    <row r="542">
      <c r="D542" s="104"/>
      <c r="E542" s="105"/>
    </row>
    <row r="543">
      <c r="D543" s="104"/>
      <c r="E543" s="105"/>
    </row>
    <row r="544">
      <c r="D544" s="104"/>
      <c r="E544" s="105"/>
    </row>
    <row r="545">
      <c r="D545" s="104"/>
      <c r="E545" s="105"/>
    </row>
    <row r="546">
      <c r="D546" s="104"/>
      <c r="E546" s="105"/>
    </row>
    <row r="547">
      <c r="D547" s="104"/>
      <c r="E547" s="105"/>
    </row>
    <row r="548">
      <c r="D548" s="104"/>
      <c r="E548" s="105"/>
    </row>
    <row r="549">
      <c r="D549" s="104"/>
      <c r="E549" s="105"/>
    </row>
    <row r="550">
      <c r="D550" s="104"/>
      <c r="E550" s="105"/>
    </row>
    <row r="551">
      <c r="D551" s="104"/>
      <c r="E551" s="105"/>
    </row>
    <row r="552">
      <c r="D552" s="104"/>
      <c r="E552" s="105"/>
    </row>
    <row r="553">
      <c r="D553" s="104"/>
      <c r="E553" s="105"/>
    </row>
    <row r="554">
      <c r="D554" s="104"/>
      <c r="E554" s="105"/>
    </row>
    <row r="555">
      <c r="D555" s="104"/>
      <c r="E555" s="105"/>
    </row>
    <row r="556">
      <c r="D556" s="104"/>
      <c r="E556" s="105"/>
    </row>
    <row r="557">
      <c r="D557" s="104"/>
      <c r="E557" s="105"/>
    </row>
    <row r="558">
      <c r="D558" s="104"/>
      <c r="E558" s="105"/>
    </row>
    <row r="559">
      <c r="D559" s="104"/>
      <c r="E559" s="105"/>
    </row>
    <row r="560">
      <c r="D560" s="104"/>
      <c r="E560" s="105"/>
    </row>
    <row r="561">
      <c r="D561" s="104"/>
      <c r="E561" s="105"/>
    </row>
    <row r="562">
      <c r="D562" s="104"/>
      <c r="E562" s="105"/>
    </row>
    <row r="563">
      <c r="D563" s="104"/>
      <c r="E563" s="105"/>
    </row>
    <row r="564">
      <c r="D564" s="104"/>
      <c r="E564" s="105"/>
    </row>
    <row r="565">
      <c r="D565" s="104"/>
      <c r="E565" s="105"/>
    </row>
    <row r="566">
      <c r="D566" s="104"/>
      <c r="E566" s="105"/>
    </row>
    <row r="567">
      <c r="D567" s="104"/>
      <c r="E567" s="105"/>
    </row>
    <row r="568">
      <c r="D568" s="104"/>
      <c r="E568" s="105"/>
    </row>
    <row r="569">
      <c r="D569" s="104"/>
      <c r="E569" s="105"/>
    </row>
    <row r="570">
      <c r="D570" s="104"/>
      <c r="E570" s="105"/>
    </row>
    <row r="571">
      <c r="D571" s="104"/>
      <c r="E571" s="105"/>
    </row>
    <row r="572">
      <c r="D572" s="104"/>
      <c r="E572" s="105"/>
    </row>
    <row r="573">
      <c r="D573" s="104"/>
      <c r="E573" s="105"/>
    </row>
    <row r="574">
      <c r="D574" s="104"/>
      <c r="E574" s="105"/>
    </row>
    <row r="575">
      <c r="D575" s="104"/>
      <c r="E575" s="105"/>
    </row>
    <row r="576">
      <c r="D576" s="104"/>
      <c r="E576" s="105"/>
    </row>
    <row r="577">
      <c r="D577" s="104"/>
      <c r="E577" s="105"/>
    </row>
    <row r="578">
      <c r="D578" s="104"/>
      <c r="E578" s="105"/>
    </row>
    <row r="579">
      <c r="D579" s="104"/>
      <c r="E579" s="105"/>
    </row>
    <row r="580">
      <c r="D580" s="104"/>
      <c r="E580" s="105"/>
    </row>
    <row r="581">
      <c r="D581" s="104"/>
      <c r="E581" s="105"/>
    </row>
    <row r="582">
      <c r="D582" s="104"/>
      <c r="E582" s="105"/>
    </row>
    <row r="583">
      <c r="D583" s="104"/>
      <c r="E583" s="105"/>
    </row>
    <row r="584">
      <c r="D584" s="104"/>
      <c r="E584" s="105"/>
    </row>
    <row r="585">
      <c r="D585" s="104"/>
      <c r="E585" s="105"/>
    </row>
    <row r="586">
      <c r="D586" s="104"/>
      <c r="E586" s="105"/>
    </row>
    <row r="587">
      <c r="D587" s="104"/>
      <c r="E587" s="105"/>
    </row>
    <row r="588">
      <c r="D588" s="104"/>
      <c r="E588" s="105"/>
    </row>
    <row r="589">
      <c r="D589" s="104"/>
      <c r="E589" s="105"/>
    </row>
    <row r="590">
      <c r="D590" s="104"/>
      <c r="E590" s="105"/>
    </row>
    <row r="591">
      <c r="D591" s="104"/>
      <c r="E591" s="105"/>
    </row>
    <row r="592">
      <c r="D592" s="104"/>
      <c r="E592" s="105"/>
    </row>
    <row r="593">
      <c r="D593" s="104"/>
      <c r="E593" s="105"/>
    </row>
    <row r="594">
      <c r="D594" s="104"/>
      <c r="E594" s="105"/>
    </row>
    <row r="595">
      <c r="D595" s="104"/>
      <c r="E595" s="105"/>
    </row>
    <row r="596">
      <c r="D596" s="104"/>
      <c r="E596" s="105"/>
    </row>
    <row r="597">
      <c r="D597" s="104"/>
      <c r="E597" s="105"/>
    </row>
    <row r="598">
      <c r="D598" s="104"/>
      <c r="E598" s="105"/>
    </row>
    <row r="599">
      <c r="D599" s="104"/>
      <c r="E599" s="105"/>
    </row>
    <row r="600">
      <c r="D600" s="104"/>
      <c r="E600" s="105"/>
    </row>
    <row r="601">
      <c r="D601" s="104"/>
      <c r="E601" s="105"/>
    </row>
    <row r="602">
      <c r="D602" s="104"/>
      <c r="E602" s="105"/>
    </row>
    <row r="603">
      <c r="D603" s="104"/>
      <c r="E603" s="105"/>
    </row>
    <row r="604">
      <c r="D604" s="104"/>
      <c r="E604" s="105"/>
    </row>
    <row r="605">
      <c r="D605" s="104"/>
      <c r="E605" s="105"/>
    </row>
    <row r="606">
      <c r="D606" s="104"/>
      <c r="E606" s="105"/>
    </row>
    <row r="607">
      <c r="D607" s="104"/>
      <c r="E607" s="105"/>
    </row>
    <row r="608">
      <c r="D608" s="104"/>
      <c r="E608" s="105"/>
    </row>
    <row r="609">
      <c r="D609" s="104"/>
      <c r="E609" s="105"/>
    </row>
    <row r="610">
      <c r="D610" s="104"/>
      <c r="E610" s="105"/>
    </row>
    <row r="611">
      <c r="D611" s="104"/>
      <c r="E611" s="105"/>
    </row>
    <row r="612">
      <c r="D612" s="104"/>
      <c r="E612" s="105"/>
    </row>
    <row r="613">
      <c r="D613" s="104"/>
      <c r="E613" s="105"/>
    </row>
    <row r="614">
      <c r="D614" s="104"/>
      <c r="E614" s="105"/>
    </row>
    <row r="615">
      <c r="D615" s="104"/>
      <c r="E615" s="105"/>
    </row>
    <row r="616">
      <c r="D616" s="104"/>
      <c r="E616" s="105"/>
    </row>
    <row r="617">
      <c r="D617" s="104"/>
      <c r="E617" s="105"/>
    </row>
    <row r="618">
      <c r="D618" s="104"/>
      <c r="E618" s="105"/>
    </row>
    <row r="619">
      <c r="D619" s="104"/>
      <c r="E619" s="105"/>
    </row>
    <row r="620">
      <c r="D620" s="104"/>
      <c r="E620" s="105"/>
    </row>
    <row r="621">
      <c r="D621" s="104"/>
      <c r="E621" s="105"/>
    </row>
    <row r="622">
      <c r="D622" s="104"/>
      <c r="E622" s="105"/>
    </row>
    <row r="623">
      <c r="D623" s="104"/>
      <c r="E623" s="105"/>
    </row>
    <row r="624">
      <c r="D624" s="104"/>
      <c r="E624" s="105"/>
    </row>
    <row r="625">
      <c r="D625" s="104"/>
      <c r="E625" s="105"/>
    </row>
    <row r="626">
      <c r="D626" s="104"/>
      <c r="E626" s="105"/>
    </row>
    <row r="627">
      <c r="D627" s="104"/>
      <c r="E627" s="105"/>
    </row>
    <row r="628">
      <c r="D628" s="104"/>
      <c r="E628" s="105"/>
    </row>
    <row r="629">
      <c r="D629" s="104"/>
      <c r="E629" s="105"/>
    </row>
    <row r="630">
      <c r="D630" s="104"/>
      <c r="E630" s="105"/>
    </row>
    <row r="631">
      <c r="D631" s="104"/>
      <c r="E631" s="105"/>
    </row>
    <row r="632">
      <c r="D632" s="104"/>
      <c r="E632" s="105"/>
    </row>
    <row r="633">
      <c r="D633" s="104"/>
      <c r="E633" s="105"/>
    </row>
    <row r="634">
      <c r="D634" s="104"/>
      <c r="E634" s="105"/>
    </row>
    <row r="635">
      <c r="D635" s="104"/>
      <c r="E635" s="105"/>
    </row>
    <row r="636">
      <c r="D636" s="104"/>
      <c r="E636" s="105"/>
    </row>
    <row r="637">
      <c r="D637" s="104"/>
      <c r="E637" s="105"/>
    </row>
    <row r="638">
      <c r="D638" s="104"/>
      <c r="E638" s="105"/>
    </row>
    <row r="639">
      <c r="D639" s="104"/>
      <c r="E639" s="105"/>
    </row>
    <row r="640">
      <c r="D640" s="104"/>
      <c r="E640" s="105"/>
    </row>
    <row r="641">
      <c r="D641" s="104"/>
      <c r="E641" s="105"/>
    </row>
    <row r="642">
      <c r="D642" s="104"/>
      <c r="E642" s="105"/>
    </row>
    <row r="643">
      <c r="D643" s="104"/>
      <c r="E643" s="105"/>
    </row>
    <row r="644">
      <c r="D644" s="104"/>
      <c r="E644" s="105"/>
    </row>
    <row r="645">
      <c r="D645" s="104"/>
      <c r="E645" s="105"/>
    </row>
    <row r="646">
      <c r="D646" s="104"/>
      <c r="E646" s="105"/>
    </row>
    <row r="647">
      <c r="D647" s="104"/>
      <c r="E647" s="105"/>
    </row>
    <row r="648">
      <c r="D648" s="104"/>
      <c r="E648" s="105"/>
    </row>
    <row r="649">
      <c r="D649" s="104"/>
      <c r="E649" s="105"/>
    </row>
    <row r="650">
      <c r="D650" s="104"/>
      <c r="E650" s="105"/>
    </row>
    <row r="651">
      <c r="D651" s="104"/>
      <c r="E651" s="105"/>
    </row>
    <row r="652">
      <c r="D652" s="104"/>
      <c r="E652" s="105"/>
    </row>
    <row r="653">
      <c r="D653" s="104"/>
      <c r="E653" s="105"/>
    </row>
    <row r="654">
      <c r="D654" s="104"/>
      <c r="E654" s="105"/>
    </row>
    <row r="655">
      <c r="D655" s="104"/>
      <c r="E655" s="105"/>
    </row>
    <row r="656">
      <c r="D656" s="104"/>
      <c r="E656" s="105"/>
    </row>
    <row r="657">
      <c r="D657" s="104"/>
      <c r="E657" s="105"/>
    </row>
    <row r="658">
      <c r="D658" s="104"/>
      <c r="E658" s="105"/>
    </row>
    <row r="659">
      <c r="D659" s="104"/>
      <c r="E659" s="105"/>
    </row>
    <row r="660">
      <c r="D660" s="104"/>
      <c r="E660" s="105"/>
    </row>
    <row r="661">
      <c r="D661" s="104"/>
      <c r="E661" s="105"/>
    </row>
    <row r="662">
      <c r="D662" s="104"/>
      <c r="E662" s="105"/>
    </row>
    <row r="663">
      <c r="D663" s="104"/>
      <c r="E663" s="105"/>
    </row>
    <row r="664">
      <c r="D664" s="104"/>
      <c r="E664" s="105"/>
    </row>
    <row r="665">
      <c r="D665" s="104"/>
      <c r="E665" s="105"/>
    </row>
    <row r="666">
      <c r="D666" s="104"/>
      <c r="E666" s="105"/>
    </row>
    <row r="667">
      <c r="D667" s="104"/>
      <c r="E667" s="105"/>
    </row>
    <row r="668">
      <c r="D668" s="104"/>
      <c r="E668" s="105"/>
    </row>
    <row r="669">
      <c r="D669" s="104"/>
      <c r="E669" s="105"/>
    </row>
    <row r="670">
      <c r="D670" s="104"/>
      <c r="E670" s="105"/>
    </row>
    <row r="671">
      <c r="D671" s="104"/>
      <c r="E671" s="105"/>
    </row>
    <row r="672">
      <c r="D672" s="104"/>
      <c r="E672" s="105"/>
    </row>
    <row r="673">
      <c r="D673" s="104"/>
      <c r="E673" s="105"/>
    </row>
    <row r="674">
      <c r="D674" s="104"/>
      <c r="E674" s="105"/>
    </row>
    <row r="675">
      <c r="D675" s="104"/>
      <c r="E675" s="105"/>
    </row>
    <row r="676">
      <c r="D676" s="104"/>
      <c r="E676" s="105"/>
    </row>
    <row r="677">
      <c r="D677" s="104"/>
      <c r="E677" s="105"/>
    </row>
    <row r="678">
      <c r="D678" s="104"/>
      <c r="E678" s="105"/>
    </row>
    <row r="679">
      <c r="D679" s="104"/>
      <c r="E679" s="105"/>
    </row>
    <row r="680">
      <c r="D680" s="104"/>
      <c r="E680" s="105"/>
    </row>
    <row r="681">
      <c r="D681" s="104"/>
      <c r="E681" s="105"/>
    </row>
    <row r="682">
      <c r="D682" s="104"/>
      <c r="E682" s="105"/>
    </row>
    <row r="683">
      <c r="D683" s="104"/>
      <c r="E683" s="105"/>
    </row>
    <row r="684">
      <c r="D684" s="104"/>
      <c r="E684" s="105"/>
    </row>
    <row r="685">
      <c r="D685" s="104"/>
      <c r="E685" s="105"/>
    </row>
    <row r="686">
      <c r="D686" s="104"/>
      <c r="E686" s="105"/>
    </row>
    <row r="687">
      <c r="D687" s="104"/>
      <c r="E687" s="105"/>
    </row>
    <row r="688">
      <c r="D688" s="104"/>
      <c r="E688" s="105"/>
    </row>
    <row r="689">
      <c r="D689" s="104"/>
      <c r="E689" s="105"/>
    </row>
    <row r="690">
      <c r="D690" s="104"/>
      <c r="E690" s="105"/>
    </row>
    <row r="691">
      <c r="D691" s="104"/>
      <c r="E691" s="105"/>
    </row>
    <row r="692">
      <c r="D692" s="104"/>
      <c r="E692" s="105"/>
    </row>
    <row r="693">
      <c r="D693" s="104"/>
      <c r="E693" s="105"/>
    </row>
    <row r="694">
      <c r="D694" s="104"/>
      <c r="E694" s="105"/>
    </row>
    <row r="695">
      <c r="D695" s="104"/>
      <c r="E695" s="105"/>
    </row>
    <row r="696">
      <c r="D696" s="104"/>
      <c r="E696" s="105"/>
    </row>
    <row r="697">
      <c r="D697" s="104"/>
      <c r="E697" s="105"/>
    </row>
    <row r="698">
      <c r="D698" s="104"/>
      <c r="E698" s="105"/>
    </row>
    <row r="699">
      <c r="D699" s="104"/>
      <c r="E699" s="105"/>
    </row>
    <row r="700">
      <c r="D700" s="104"/>
      <c r="E700" s="105"/>
    </row>
    <row r="701">
      <c r="D701" s="104"/>
      <c r="E701" s="105"/>
    </row>
    <row r="702">
      <c r="D702" s="104"/>
      <c r="E702" s="105"/>
    </row>
    <row r="703">
      <c r="D703" s="104"/>
      <c r="E703" s="105"/>
    </row>
    <row r="704">
      <c r="D704" s="104"/>
      <c r="E704" s="105"/>
    </row>
    <row r="705">
      <c r="D705" s="104"/>
      <c r="E705" s="105"/>
    </row>
    <row r="706">
      <c r="D706" s="104"/>
      <c r="E706" s="105"/>
    </row>
    <row r="707">
      <c r="D707" s="104"/>
      <c r="E707" s="105"/>
    </row>
    <row r="708">
      <c r="D708" s="104"/>
      <c r="E708" s="105"/>
    </row>
    <row r="709">
      <c r="D709" s="104"/>
      <c r="E709" s="105"/>
    </row>
    <row r="710">
      <c r="D710" s="104"/>
      <c r="E710" s="105"/>
    </row>
    <row r="711">
      <c r="D711" s="104"/>
      <c r="E711" s="105"/>
    </row>
    <row r="712">
      <c r="D712" s="104"/>
      <c r="E712" s="105"/>
    </row>
    <row r="713">
      <c r="D713" s="104"/>
      <c r="E713" s="105"/>
    </row>
    <row r="714">
      <c r="D714" s="104"/>
      <c r="E714" s="105"/>
    </row>
    <row r="715">
      <c r="D715" s="104"/>
      <c r="E715" s="105"/>
    </row>
    <row r="716">
      <c r="D716" s="104"/>
      <c r="E716" s="105"/>
    </row>
    <row r="717">
      <c r="D717" s="104"/>
      <c r="E717" s="105"/>
    </row>
    <row r="718">
      <c r="D718" s="104"/>
      <c r="E718" s="105"/>
    </row>
    <row r="719">
      <c r="D719" s="104"/>
      <c r="E719" s="105"/>
    </row>
    <row r="720">
      <c r="D720" s="104"/>
      <c r="E720" s="105"/>
    </row>
    <row r="721">
      <c r="D721" s="104"/>
      <c r="E721" s="105"/>
    </row>
    <row r="722">
      <c r="D722" s="104"/>
      <c r="E722" s="105"/>
    </row>
    <row r="723">
      <c r="D723" s="104"/>
      <c r="E723" s="105"/>
    </row>
    <row r="724">
      <c r="D724" s="104"/>
      <c r="E724" s="105"/>
    </row>
    <row r="725">
      <c r="D725" s="104"/>
      <c r="E725" s="105"/>
    </row>
    <row r="726">
      <c r="D726" s="104"/>
      <c r="E726" s="105"/>
    </row>
    <row r="727">
      <c r="D727" s="104"/>
      <c r="E727" s="105"/>
    </row>
    <row r="728">
      <c r="D728" s="104"/>
      <c r="E728" s="105"/>
    </row>
    <row r="729">
      <c r="D729" s="104"/>
      <c r="E729" s="105"/>
    </row>
    <row r="730">
      <c r="D730" s="104"/>
      <c r="E730" s="105"/>
    </row>
    <row r="731">
      <c r="D731" s="104"/>
      <c r="E731" s="105"/>
    </row>
    <row r="732">
      <c r="D732" s="104"/>
      <c r="E732" s="105"/>
    </row>
    <row r="733">
      <c r="D733" s="104"/>
      <c r="E733" s="105"/>
    </row>
    <row r="734">
      <c r="D734" s="104"/>
      <c r="E734" s="105"/>
    </row>
    <row r="735">
      <c r="D735" s="104"/>
      <c r="E735" s="105"/>
    </row>
    <row r="736">
      <c r="D736" s="104"/>
      <c r="E736" s="105"/>
    </row>
    <row r="737">
      <c r="D737" s="104"/>
      <c r="E737" s="105"/>
    </row>
    <row r="738">
      <c r="D738" s="104"/>
      <c r="E738" s="105"/>
    </row>
    <row r="739">
      <c r="D739" s="104"/>
      <c r="E739" s="105"/>
    </row>
    <row r="740">
      <c r="D740" s="104"/>
      <c r="E740" s="105"/>
    </row>
    <row r="741">
      <c r="D741" s="104"/>
      <c r="E741" s="105"/>
    </row>
    <row r="742">
      <c r="D742" s="104"/>
      <c r="E742" s="105"/>
    </row>
    <row r="743">
      <c r="D743" s="104"/>
      <c r="E743" s="105"/>
    </row>
    <row r="744">
      <c r="D744" s="104"/>
      <c r="E744" s="105"/>
    </row>
    <row r="745">
      <c r="D745" s="104"/>
      <c r="E745" s="105"/>
    </row>
    <row r="746">
      <c r="D746" s="104"/>
      <c r="E746" s="105"/>
    </row>
    <row r="747">
      <c r="D747" s="104"/>
      <c r="E747" s="105"/>
    </row>
    <row r="748">
      <c r="D748" s="104"/>
      <c r="E748" s="105"/>
    </row>
    <row r="749">
      <c r="D749" s="104"/>
      <c r="E749" s="105"/>
    </row>
    <row r="750">
      <c r="D750" s="104"/>
      <c r="E750" s="105"/>
    </row>
    <row r="751">
      <c r="D751" s="104"/>
      <c r="E751" s="105"/>
    </row>
    <row r="752">
      <c r="D752" s="104"/>
      <c r="E752" s="105"/>
    </row>
    <row r="753">
      <c r="D753" s="104"/>
      <c r="E753" s="105"/>
    </row>
    <row r="754">
      <c r="D754" s="104"/>
      <c r="E754" s="105"/>
    </row>
    <row r="755">
      <c r="D755" s="104"/>
      <c r="E755" s="105"/>
    </row>
    <row r="756">
      <c r="D756" s="104"/>
      <c r="E756" s="105"/>
    </row>
    <row r="757">
      <c r="D757" s="104"/>
      <c r="E757" s="105"/>
    </row>
    <row r="758">
      <c r="D758" s="104"/>
      <c r="E758" s="105"/>
    </row>
    <row r="759">
      <c r="D759" s="104"/>
      <c r="E759" s="105"/>
    </row>
    <row r="760">
      <c r="D760" s="104"/>
      <c r="E760" s="105"/>
    </row>
    <row r="761">
      <c r="D761" s="104"/>
      <c r="E761" s="105"/>
    </row>
    <row r="762">
      <c r="D762" s="104"/>
      <c r="E762" s="105"/>
    </row>
    <row r="763">
      <c r="D763" s="104"/>
      <c r="E763" s="105"/>
    </row>
    <row r="764">
      <c r="D764" s="104"/>
      <c r="E764" s="105"/>
    </row>
    <row r="765">
      <c r="D765" s="104"/>
      <c r="E765" s="105"/>
    </row>
    <row r="766">
      <c r="D766" s="104"/>
      <c r="E766" s="105"/>
    </row>
    <row r="767">
      <c r="D767" s="104"/>
      <c r="E767" s="105"/>
    </row>
    <row r="768">
      <c r="D768" s="104"/>
      <c r="E768" s="105"/>
    </row>
    <row r="769">
      <c r="D769" s="104"/>
      <c r="E769" s="105"/>
    </row>
    <row r="770">
      <c r="D770" s="104"/>
      <c r="E770" s="105"/>
    </row>
    <row r="771">
      <c r="D771" s="104"/>
      <c r="E771" s="105"/>
    </row>
    <row r="772">
      <c r="D772" s="104"/>
      <c r="E772" s="105"/>
    </row>
    <row r="773">
      <c r="D773" s="104"/>
      <c r="E773" s="105"/>
    </row>
    <row r="774">
      <c r="D774" s="104"/>
      <c r="E774" s="105"/>
    </row>
    <row r="775">
      <c r="D775" s="104"/>
      <c r="E775" s="105"/>
    </row>
    <row r="776">
      <c r="D776" s="104"/>
      <c r="E776" s="105"/>
    </row>
    <row r="777">
      <c r="D777" s="104"/>
      <c r="E777" s="105"/>
    </row>
    <row r="778">
      <c r="D778" s="104"/>
      <c r="E778" s="105"/>
    </row>
    <row r="779">
      <c r="D779" s="104"/>
      <c r="E779" s="105"/>
    </row>
    <row r="780">
      <c r="D780" s="104"/>
      <c r="E780" s="105"/>
    </row>
    <row r="781">
      <c r="D781" s="104"/>
      <c r="E781" s="105"/>
    </row>
    <row r="782">
      <c r="D782" s="104"/>
      <c r="E782" s="105"/>
    </row>
    <row r="783">
      <c r="D783" s="104"/>
      <c r="E783" s="105"/>
    </row>
    <row r="784">
      <c r="D784" s="104"/>
      <c r="E784" s="105"/>
    </row>
    <row r="785">
      <c r="D785" s="104"/>
      <c r="E785" s="105"/>
    </row>
    <row r="786">
      <c r="D786" s="104"/>
      <c r="E786" s="105"/>
    </row>
    <row r="787">
      <c r="D787" s="104"/>
      <c r="E787" s="105"/>
    </row>
    <row r="788">
      <c r="D788" s="104"/>
      <c r="E788" s="105"/>
    </row>
    <row r="789">
      <c r="D789" s="104"/>
      <c r="E789" s="105"/>
    </row>
    <row r="790">
      <c r="D790" s="104"/>
      <c r="E790" s="105"/>
    </row>
    <row r="791">
      <c r="D791" s="104"/>
      <c r="E791" s="105"/>
    </row>
    <row r="792">
      <c r="D792" s="104"/>
      <c r="E792" s="105"/>
    </row>
    <row r="793">
      <c r="D793" s="104"/>
      <c r="E793" s="105"/>
    </row>
    <row r="794">
      <c r="D794" s="104"/>
      <c r="E794" s="105"/>
    </row>
    <row r="795">
      <c r="D795" s="104"/>
      <c r="E795" s="105"/>
    </row>
    <row r="796">
      <c r="D796" s="104"/>
      <c r="E796" s="105"/>
    </row>
    <row r="797">
      <c r="D797" s="104"/>
      <c r="E797" s="105"/>
    </row>
    <row r="798">
      <c r="D798" s="104"/>
      <c r="E798" s="105"/>
    </row>
    <row r="799">
      <c r="D799" s="104"/>
      <c r="E799" s="105"/>
    </row>
    <row r="800">
      <c r="D800" s="104"/>
      <c r="E800" s="105"/>
    </row>
    <row r="801">
      <c r="D801" s="104"/>
      <c r="E801" s="105"/>
    </row>
    <row r="802">
      <c r="D802" s="104"/>
      <c r="E802" s="105"/>
    </row>
    <row r="803">
      <c r="D803" s="104"/>
      <c r="E803" s="105"/>
    </row>
    <row r="804">
      <c r="D804" s="104"/>
      <c r="E804" s="105"/>
    </row>
    <row r="805">
      <c r="D805" s="104"/>
      <c r="E805" s="105"/>
    </row>
    <row r="806">
      <c r="D806" s="104"/>
      <c r="E806" s="105"/>
    </row>
    <row r="807">
      <c r="D807" s="104"/>
      <c r="E807" s="105"/>
    </row>
    <row r="808">
      <c r="D808" s="104"/>
      <c r="E808" s="105"/>
    </row>
    <row r="809">
      <c r="D809" s="104"/>
      <c r="E809" s="105"/>
    </row>
    <row r="810">
      <c r="D810" s="104"/>
      <c r="E810" s="105"/>
    </row>
    <row r="811">
      <c r="D811" s="104"/>
      <c r="E811" s="105"/>
    </row>
    <row r="812">
      <c r="D812" s="104"/>
      <c r="E812" s="105"/>
    </row>
    <row r="813">
      <c r="D813" s="104"/>
      <c r="E813" s="105"/>
    </row>
    <row r="814">
      <c r="D814" s="104"/>
      <c r="E814" s="105"/>
    </row>
    <row r="815">
      <c r="D815" s="104"/>
      <c r="E815" s="105"/>
    </row>
    <row r="816">
      <c r="D816" s="104"/>
      <c r="E816" s="105"/>
    </row>
    <row r="817">
      <c r="D817" s="104"/>
      <c r="E817" s="105"/>
    </row>
    <row r="818">
      <c r="D818" s="104"/>
      <c r="E818" s="105"/>
    </row>
    <row r="819">
      <c r="D819" s="104"/>
      <c r="E819" s="105"/>
    </row>
    <row r="820">
      <c r="D820" s="104"/>
      <c r="E820" s="105"/>
    </row>
    <row r="821">
      <c r="D821" s="104"/>
      <c r="E821" s="105"/>
    </row>
    <row r="822">
      <c r="D822" s="104"/>
      <c r="E822" s="105"/>
    </row>
    <row r="823">
      <c r="D823" s="104"/>
      <c r="E823" s="105"/>
    </row>
    <row r="824">
      <c r="D824" s="104"/>
      <c r="E824" s="105"/>
    </row>
    <row r="825">
      <c r="D825" s="104"/>
      <c r="E825" s="105"/>
    </row>
    <row r="826">
      <c r="D826" s="104"/>
      <c r="E826" s="105"/>
    </row>
    <row r="827">
      <c r="D827" s="104"/>
      <c r="E827" s="105"/>
    </row>
    <row r="828">
      <c r="D828" s="104"/>
      <c r="E828" s="105"/>
    </row>
    <row r="829">
      <c r="D829" s="104"/>
      <c r="E829" s="105"/>
    </row>
    <row r="830">
      <c r="D830" s="104"/>
      <c r="E830" s="105"/>
    </row>
    <row r="831">
      <c r="D831" s="104"/>
      <c r="E831" s="105"/>
    </row>
    <row r="832">
      <c r="D832" s="104"/>
      <c r="E832" s="105"/>
    </row>
    <row r="833">
      <c r="D833" s="104"/>
      <c r="E833" s="105"/>
    </row>
    <row r="834">
      <c r="D834" s="104"/>
      <c r="E834" s="105"/>
    </row>
    <row r="835">
      <c r="D835" s="104"/>
      <c r="E835" s="105"/>
    </row>
    <row r="836">
      <c r="D836" s="104"/>
      <c r="E836" s="105"/>
    </row>
    <row r="837">
      <c r="D837" s="104"/>
      <c r="E837" s="105"/>
    </row>
    <row r="838">
      <c r="D838" s="104"/>
      <c r="E838" s="105"/>
    </row>
    <row r="839">
      <c r="D839" s="104"/>
      <c r="E839" s="105"/>
    </row>
    <row r="840">
      <c r="D840" s="104"/>
      <c r="E840" s="105"/>
    </row>
    <row r="841">
      <c r="D841" s="104"/>
      <c r="E841" s="105"/>
    </row>
    <row r="842">
      <c r="D842" s="104"/>
      <c r="E842" s="105"/>
    </row>
    <row r="843">
      <c r="D843" s="104"/>
      <c r="E843" s="105"/>
    </row>
    <row r="844">
      <c r="D844" s="104"/>
      <c r="E844" s="105"/>
    </row>
    <row r="845">
      <c r="D845" s="104"/>
      <c r="E845" s="105"/>
    </row>
    <row r="846">
      <c r="D846" s="104"/>
      <c r="E846" s="105"/>
    </row>
    <row r="847">
      <c r="D847" s="104"/>
      <c r="E847" s="105"/>
    </row>
    <row r="848">
      <c r="D848" s="104"/>
      <c r="E848" s="105"/>
    </row>
    <row r="849">
      <c r="D849" s="104"/>
      <c r="E849" s="105"/>
    </row>
    <row r="850">
      <c r="D850" s="104"/>
      <c r="E850" s="105"/>
    </row>
    <row r="851">
      <c r="D851" s="104"/>
      <c r="E851" s="105"/>
    </row>
    <row r="852">
      <c r="D852" s="104"/>
      <c r="E852" s="105"/>
    </row>
    <row r="853">
      <c r="D853" s="104"/>
      <c r="E853" s="105"/>
    </row>
    <row r="854">
      <c r="D854" s="104"/>
      <c r="E854" s="105"/>
    </row>
    <row r="855">
      <c r="D855" s="104"/>
      <c r="E855" s="105"/>
    </row>
    <row r="856">
      <c r="D856" s="104"/>
      <c r="E856" s="105"/>
    </row>
    <row r="857">
      <c r="D857" s="104"/>
      <c r="E857" s="105"/>
    </row>
    <row r="858">
      <c r="D858" s="104"/>
      <c r="E858" s="105"/>
    </row>
    <row r="859">
      <c r="D859" s="104"/>
      <c r="E859" s="105"/>
    </row>
    <row r="860">
      <c r="D860" s="104"/>
      <c r="E860" s="105"/>
    </row>
    <row r="861">
      <c r="D861" s="104"/>
      <c r="E861" s="105"/>
    </row>
    <row r="862">
      <c r="D862" s="104"/>
      <c r="E862" s="105"/>
    </row>
    <row r="863">
      <c r="D863" s="104"/>
      <c r="E863" s="105"/>
    </row>
    <row r="864">
      <c r="D864" s="104"/>
      <c r="E864" s="105"/>
    </row>
    <row r="865">
      <c r="D865" s="104"/>
      <c r="E865" s="105"/>
    </row>
    <row r="866">
      <c r="D866" s="104"/>
      <c r="E866" s="105"/>
    </row>
    <row r="867">
      <c r="D867" s="104"/>
      <c r="E867" s="105"/>
    </row>
    <row r="868">
      <c r="D868" s="104"/>
      <c r="E868" s="105"/>
    </row>
    <row r="869">
      <c r="D869" s="104"/>
      <c r="E869" s="105"/>
    </row>
    <row r="870">
      <c r="D870" s="104"/>
      <c r="E870" s="105"/>
    </row>
    <row r="871">
      <c r="D871" s="104"/>
      <c r="E871" s="105"/>
    </row>
    <row r="872">
      <c r="D872" s="104"/>
      <c r="E872" s="105"/>
    </row>
    <row r="873">
      <c r="D873" s="104"/>
      <c r="E873" s="105"/>
    </row>
    <row r="874">
      <c r="D874" s="104"/>
      <c r="E874" s="105"/>
    </row>
    <row r="875">
      <c r="D875" s="104"/>
      <c r="E875" s="105"/>
    </row>
    <row r="876">
      <c r="D876" s="104"/>
      <c r="E876" s="105"/>
    </row>
    <row r="877">
      <c r="D877" s="104"/>
      <c r="E877" s="105"/>
    </row>
    <row r="878">
      <c r="D878" s="104"/>
      <c r="E878" s="105"/>
    </row>
    <row r="879">
      <c r="D879" s="104"/>
      <c r="E879" s="105"/>
    </row>
    <row r="880">
      <c r="D880" s="104"/>
      <c r="E880" s="105"/>
    </row>
    <row r="881">
      <c r="D881" s="104"/>
      <c r="E881" s="105"/>
    </row>
    <row r="882">
      <c r="D882" s="104"/>
      <c r="E882" s="105"/>
    </row>
    <row r="883">
      <c r="D883" s="104"/>
      <c r="E883" s="105"/>
    </row>
    <row r="884">
      <c r="D884" s="104"/>
      <c r="E884" s="105"/>
    </row>
    <row r="885">
      <c r="D885" s="104"/>
      <c r="E885" s="105"/>
    </row>
    <row r="886">
      <c r="D886" s="104"/>
      <c r="E886" s="105"/>
    </row>
    <row r="887">
      <c r="D887" s="104"/>
      <c r="E887" s="105"/>
    </row>
    <row r="888">
      <c r="D888" s="104"/>
      <c r="E888" s="105"/>
    </row>
    <row r="889">
      <c r="D889" s="104"/>
      <c r="E889" s="105"/>
    </row>
    <row r="890">
      <c r="D890" s="104"/>
      <c r="E890" s="105"/>
    </row>
    <row r="891">
      <c r="D891" s="104"/>
      <c r="E891" s="105"/>
    </row>
    <row r="892">
      <c r="D892" s="104"/>
      <c r="E892" s="105"/>
    </row>
    <row r="893">
      <c r="D893" s="104"/>
      <c r="E893" s="105"/>
    </row>
    <row r="894">
      <c r="D894" s="104"/>
      <c r="E894" s="105"/>
    </row>
    <row r="895">
      <c r="D895" s="104"/>
      <c r="E895" s="105"/>
    </row>
    <row r="896">
      <c r="D896" s="104"/>
      <c r="E896" s="105"/>
    </row>
    <row r="897">
      <c r="D897" s="104"/>
      <c r="E897" s="105"/>
    </row>
    <row r="898">
      <c r="D898" s="104"/>
      <c r="E898" s="105"/>
    </row>
    <row r="899">
      <c r="D899" s="104"/>
      <c r="E899" s="105"/>
    </row>
    <row r="900">
      <c r="D900" s="104"/>
      <c r="E900" s="105"/>
    </row>
    <row r="901">
      <c r="D901" s="104"/>
      <c r="E901" s="105"/>
    </row>
    <row r="902">
      <c r="D902" s="104"/>
      <c r="E902" s="105"/>
    </row>
    <row r="903">
      <c r="D903" s="104"/>
      <c r="E903" s="105"/>
    </row>
    <row r="904">
      <c r="D904" s="104"/>
      <c r="E904" s="105"/>
    </row>
    <row r="905">
      <c r="D905" s="104"/>
      <c r="E905" s="105"/>
    </row>
    <row r="906">
      <c r="D906" s="104"/>
      <c r="E906" s="105"/>
    </row>
    <row r="907">
      <c r="D907" s="104"/>
      <c r="E907" s="105"/>
    </row>
    <row r="908">
      <c r="D908" s="104"/>
      <c r="E908" s="105"/>
    </row>
    <row r="909">
      <c r="D909" s="104"/>
      <c r="E909" s="105"/>
    </row>
    <row r="910">
      <c r="D910" s="104"/>
      <c r="E910" s="105"/>
    </row>
    <row r="911">
      <c r="D911" s="104"/>
      <c r="E911" s="105"/>
    </row>
    <row r="912">
      <c r="D912" s="104"/>
      <c r="E912" s="105"/>
    </row>
    <row r="913">
      <c r="D913" s="104"/>
      <c r="E913" s="105"/>
    </row>
    <row r="914">
      <c r="D914" s="104"/>
      <c r="E914" s="105"/>
    </row>
    <row r="915">
      <c r="D915" s="104"/>
      <c r="E915" s="105"/>
    </row>
    <row r="916">
      <c r="D916" s="104"/>
      <c r="E916" s="105"/>
    </row>
    <row r="917">
      <c r="D917" s="104"/>
      <c r="E917" s="105"/>
    </row>
    <row r="918">
      <c r="D918" s="104"/>
      <c r="E918" s="105"/>
    </row>
    <row r="919">
      <c r="D919" s="104"/>
      <c r="E919" s="105"/>
    </row>
    <row r="920">
      <c r="D920" s="104"/>
      <c r="E920" s="105"/>
    </row>
    <row r="921">
      <c r="D921" s="104"/>
      <c r="E921" s="105"/>
    </row>
    <row r="922">
      <c r="D922" s="104"/>
      <c r="E922" s="105"/>
    </row>
    <row r="923">
      <c r="D923" s="104"/>
      <c r="E923" s="105"/>
    </row>
    <row r="924">
      <c r="D924" s="104"/>
      <c r="E924" s="105"/>
    </row>
    <row r="925">
      <c r="D925" s="104"/>
      <c r="E925" s="105"/>
    </row>
    <row r="926">
      <c r="D926" s="104"/>
      <c r="E926" s="105"/>
    </row>
    <row r="927">
      <c r="D927" s="104"/>
      <c r="E927" s="105"/>
    </row>
    <row r="928">
      <c r="D928" s="104"/>
      <c r="E928" s="105"/>
    </row>
    <row r="929">
      <c r="D929" s="104"/>
      <c r="E929" s="105"/>
    </row>
    <row r="930">
      <c r="D930" s="104"/>
      <c r="E930" s="105"/>
    </row>
    <row r="931">
      <c r="D931" s="104"/>
      <c r="E931" s="105"/>
    </row>
    <row r="932">
      <c r="D932" s="104"/>
      <c r="E932" s="105"/>
    </row>
    <row r="933">
      <c r="D933" s="104"/>
      <c r="E933" s="105"/>
    </row>
    <row r="934">
      <c r="D934" s="104"/>
      <c r="E934" s="105"/>
    </row>
    <row r="935">
      <c r="D935" s="104"/>
      <c r="E935" s="105"/>
    </row>
    <row r="936">
      <c r="D936" s="104"/>
      <c r="E936" s="105"/>
    </row>
    <row r="937">
      <c r="D937" s="104"/>
      <c r="E937" s="105"/>
    </row>
    <row r="938">
      <c r="D938" s="104"/>
      <c r="E938" s="105"/>
    </row>
    <row r="939">
      <c r="D939" s="104"/>
      <c r="E939" s="105"/>
    </row>
    <row r="940">
      <c r="D940" s="104"/>
      <c r="E940" s="105"/>
    </row>
    <row r="941">
      <c r="D941" s="104"/>
      <c r="E941" s="105"/>
    </row>
    <row r="942">
      <c r="D942" s="104"/>
      <c r="E942" s="105"/>
    </row>
    <row r="943">
      <c r="D943" s="104"/>
      <c r="E943" s="105"/>
    </row>
    <row r="944">
      <c r="D944" s="104"/>
      <c r="E944" s="105"/>
    </row>
    <row r="945">
      <c r="D945" s="104"/>
      <c r="E945" s="105"/>
    </row>
    <row r="946">
      <c r="D946" s="104"/>
      <c r="E946" s="105"/>
    </row>
    <row r="947">
      <c r="D947" s="104"/>
      <c r="E947" s="105"/>
    </row>
    <row r="948">
      <c r="D948" s="104"/>
      <c r="E948" s="105"/>
    </row>
    <row r="949">
      <c r="D949" s="104"/>
      <c r="E949" s="105"/>
    </row>
    <row r="950">
      <c r="D950" s="104"/>
      <c r="E950" s="105"/>
    </row>
    <row r="951">
      <c r="D951" s="104"/>
      <c r="E951" s="105"/>
    </row>
    <row r="952">
      <c r="D952" s="104"/>
      <c r="E952" s="105"/>
    </row>
    <row r="953">
      <c r="D953" s="104"/>
      <c r="E953" s="105"/>
    </row>
    <row r="954">
      <c r="D954" s="104"/>
      <c r="E954" s="105"/>
    </row>
    <row r="955">
      <c r="D955" s="104"/>
      <c r="E955" s="105"/>
    </row>
    <row r="956">
      <c r="D956" s="104"/>
      <c r="E956" s="105"/>
    </row>
    <row r="957">
      <c r="D957" s="104"/>
      <c r="E957" s="105"/>
    </row>
    <row r="958">
      <c r="D958" s="104"/>
      <c r="E958" s="105"/>
    </row>
    <row r="959">
      <c r="D959" s="104"/>
      <c r="E959" s="105"/>
    </row>
    <row r="960">
      <c r="D960" s="104"/>
      <c r="E960" s="105"/>
    </row>
    <row r="961">
      <c r="D961" s="104"/>
      <c r="E961" s="105"/>
    </row>
    <row r="962">
      <c r="D962" s="104"/>
      <c r="E962" s="105"/>
    </row>
    <row r="963">
      <c r="D963" s="104"/>
      <c r="E963" s="105"/>
    </row>
    <row r="964">
      <c r="D964" s="104"/>
      <c r="E964" s="105"/>
    </row>
    <row r="965">
      <c r="D965" s="104"/>
      <c r="E965" s="105"/>
    </row>
    <row r="966">
      <c r="D966" s="104"/>
      <c r="E966" s="105"/>
    </row>
    <row r="967">
      <c r="D967" s="104"/>
      <c r="E967" s="105"/>
    </row>
    <row r="968">
      <c r="D968" s="104"/>
      <c r="E968" s="105"/>
    </row>
    <row r="969">
      <c r="D969" s="104"/>
      <c r="E969" s="105"/>
    </row>
    <row r="970">
      <c r="D970" s="104"/>
      <c r="E970" s="105"/>
    </row>
    <row r="971">
      <c r="D971" s="104"/>
      <c r="E971" s="105"/>
    </row>
    <row r="972">
      <c r="D972" s="104"/>
      <c r="E972" s="105"/>
    </row>
    <row r="973">
      <c r="D973" s="104"/>
      <c r="E973" s="105"/>
    </row>
    <row r="974">
      <c r="D974" s="104"/>
      <c r="E974" s="105"/>
    </row>
    <row r="975">
      <c r="D975" s="104"/>
      <c r="E975" s="105"/>
    </row>
    <row r="976">
      <c r="D976" s="104"/>
      <c r="E976" s="105"/>
    </row>
    <row r="977">
      <c r="D977" s="104"/>
      <c r="E977" s="105"/>
    </row>
    <row r="978">
      <c r="D978" s="104"/>
      <c r="E978" s="105"/>
    </row>
    <row r="979">
      <c r="D979" s="104"/>
      <c r="E979" s="105"/>
    </row>
    <row r="980">
      <c r="D980" s="104"/>
      <c r="E980" s="105"/>
    </row>
    <row r="981">
      <c r="D981" s="104"/>
      <c r="E981" s="105"/>
    </row>
    <row r="982">
      <c r="D982" s="104"/>
      <c r="E982" s="105"/>
    </row>
    <row r="983">
      <c r="D983" s="104"/>
      <c r="E983" s="105"/>
    </row>
    <row r="984">
      <c r="D984" s="104"/>
      <c r="E984" s="105"/>
    </row>
    <row r="985">
      <c r="D985" s="104"/>
      <c r="E985" s="105"/>
    </row>
    <row r="986">
      <c r="D986" s="104"/>
      <c r="E986" s="105"/>
    </row>
    <row r="987">
      <c r="D987" s="104"/>
      <c r="E987" s="105"/>
    </row>
    <row r="988">
      <c r="D988" s="104"/>
      <c r="E988" s="105"/>
    </row>
    <row r="989">
      <c r="D989" s="104"/>
      <c r="E989" s="105"/>
    </row>
    <row r="990">
      <c r="D990" s="104"/>
      <c r="E990" s="105"/>
    </row>
    <row r="991">
      <c r="D991" s="104"/>
      <c r="E991" s="105"/>
    </row>
    <row r="992">
      <c r="D992" s="104"/>
      <c r="E992" s="105"/>
    </row>
    <row r="993">
      <c r="D993" s="104"/>
      <c r="E993" s="105"/>
    </row>
    <row r="994">
      <c r="D994" s="104"/>
      <c r="E994" s="105"/>
    </row>
    <row r="995">
      <c r="D995" s="104"/>
      <c r="E995" s="105"/>
    </row>
    <row r="996">
      <c r="D996" s="104"/>
      <c r="E996" s="105"/>
    </row>
    <row r="997">
      <c r="D997" s="104"/>
      <c r="E997" s="105"/>
    </row>
    <row r="998">
      <c r="D998" s="104"/>
      <c r="E998" s="105"/>
    </row>
    <row r="999">
      <c r="D999" s="104"/>
      <c r="E999" s="105"/>
    </row>
    <row r="1000">
      <c r="D1000" s="104"/>
      <c r="E1000" s="105"/>
    </row>
    <row r="1001">
      <c r="D1001" s="104"/>
      <c r="E1001" s="105"/>
    </row>
    <row r="1002">
      <c r="D1002" s="104"/>
      <c r="E1002" s="105"/>
    </row>
    <row r="1003">
      <c r="D1003" s="104"/>
      <c r="E1003" s="105"/>
    </row>
    <row r="1004">
      <c r="D1004" s="104"/>
      <c r="E1004" s="105"/>
    </row>
    <row r="1005">
      <c r="D1005" s="104"/>
      <c r="E1005" s="105"/>
    </row>
  </sheetData>
  <mergeCells count="1">
    <mergeCell ref="K2:L2"/>
  </mergeCells>
  <dataValidations>
    <dataValidation type="list" allowBlank="1" showErrorMessage="1" sqref="E6">
      <formula1>Tcentrocustos</formula1>
    </dataValidation>
    <dataValidation type="list" allowBlank="1" showErrorMessage="1" sqref="E4">
      <formula1>Meses</formula1>
    </dataValidation>
    <dataValidation type="list" allowBlank="1" showErrorMessage="1" sqref="E5">
      <formula1>Tfornecedores</formula1>
    </dataValidation>
    <dataValidation type="list" allowBlank="1" showErrorMessage="1" sqref="E3">
      <formula1>"2022,2023,2024,2025,2026,2027,2028,2029,2030"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5"/>
    <col customWidth="1" min="2" max="2" width="24.0"/>
  </cols>
  <sheetData>
    <row r="1" ht="9.0" customHeight="1">
      <c r="A1" s="4"/>
      <c r="B1" s="4"/>
      <c r="C1" s="6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71"/>
      <c r="P1" s="4"/>
    </row>
    <row r="2">
      <c r="A2" s="9"/>
      <c r="B2" s="106" t="s">
        <v>183</v>
      </c>
      <c r="C2" s="9"/>
      <c r="D2" s="107" t="s">
        <v>184</v>
      </c>
      <c r="K2" s="9"/>
      <c r="L2" s="108"/>
      <c r="M2" s="9"/>
      <c r="N2" s="9"/>
      <c r="O2" s="109"/>
      <c r="P2" s="9"/>
    </row>
    <row r="3">
      <c r="A3" s="9"/>
      <c r="B3" s="9"/>
      <c r="C3" s="9"/>
      <c r="D3" s="82" t="s">
        <v>169</v>
      </c>
      <c r="E3" s="76">
        <v>2025.0</v>
      </c>
      <c r="F3" s="82" t="s">
        <v>185</v>
      </c>
      <c r="G3" s="87" t="s">
        <v>149</v>
      </c>
      <c r="H3" s="82" t="s">
        <v>186</v>
      </c>
      <c r="I3" s="87" t="s">
        <v>173</v>
      </c>
      <c r="J3" s="110"/>
      <c r="K3" s="89" t="s">
        <v>176</v>
      </c>
      <c r="L3" s="111" t="s">
        <v>173</v>
      </c>
      <c r="M3" s="9"/>
      <c r="N3" s="9"/>
      <c r="O3" s="109"/>
      <c r="P3" s="9"/>
    </row>
    <row r="4">
      <c r="A4" s="9"/>
      <c r="B4" s="9"/>
      <c r="C4" s="108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09"/>
      <c r="P4" s="9"/>
    </row>
    <row r="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09"/>
      <c r="P5" s="9"/>
    </row>
    <row r="6">
      <c r="A6" s="9"/>
      <c r="B6" s="112"/>
      <c r="C6" s="113">
        <f>DATE(E3,1,1)</f>
        <v>45658</v>
      </c>
      <c r="D6" s="113">
        <f t="shared" ref="D6:N6" si="1">EDATE(C6,1)</f>
        <v>45689</v>
      </c>
      <c r="E6" s="113">
        <f t="shared" si="1"/>
        <v>45717</v>
      </c>
      <c r="F6" s="113">
        <f t="shared" si="1"/>
        <v>45748</v>
      </c>
      <c r="G6" s="113">
        <f t="shared" si="1"/>
        <v>45778</v>
      </c>
      <c r="H6" s="113">
        <f t="shared" si="1"/>
        <v>45809</v>
      </c>
      <c r="I6" s="113">
        <f t="shared" si="1"/>
        <v>45839</v>
      </c>
      <c r="J6" s="113">
        <f t="shared" si="1"/>
        <v>45870</v>
      </c>
      <c r="K6" s="113">
        <f t="shared" si="1"/>
        <v>45901</v>
      </c>
      <c r="L6" s="113">
        <f t="shared" si="1"/>
        <v>45931</v>
      </c>
      <c r="M6" s="113">
        <f t="shared" si="1"/>
        <v>45962</v>
      </c>
      <c r="N6" s="113">
        <f t="shared" si="1"/>
        <v>45992</v>
      </c>
      <c r="O6" s="114" t="s">
        <v>187</v>
      </c>
      <c r="P6" s="109"/>
    </row>
    <row r="7">
      <c r="A7" s="9"/>
      <c r="B7" s="115"/>
      <c r="C7" s="116"/>
      <c r="D7" s="117"/>
      <c r="E7" s="116"/>
      <c r="F7" s="116"/>
      <c r="G7" s="116"/>
      <c r="H7" s="116"/>
      <c r="I7" s="116"/>
      <c r="J7" s="116"/>
      <c r="K7" s="116"/>
      <c r="L7" s="116"/>
      <c r="M7" s="116"/>
      <c r="N7" s="116"/>
      <c r="O7" s="118"/>
      <c r="P7" s="109"/>
    </row>
    <row r="8">
      <c r="A8" s="9"/>
      <c r="B8" s="119" t="s">
        <v>188</v>
      </c>
      <c r="C8" s="120">
        <f>SUMIFS(Entradas[Valores],Entradas[Data do Recebimento],"&lt;"&amp;C$6,Entradas[Status],X!$E$2,Entradas[Conta Financeira],X!$E$3)-SUMIFS(Saidas[Valores],Saidas[Data do Pagamento],"&lt;"&amp;C$6,Saidas[Status],X!$E$2,Saidas[Conta Financeira],X!$E$3)+SUMIFS(Cadastros!$D$6:$D$19,Cadastros!$E$6:$E$19,"&lt;"&amp;C6,Cadastros!$B$6:$B$19,X!$E$3)+SUMIFS(Transferência_Interna[Valor],Transferência_Interna[Conta de Destino],X!$E$3,Transferência_Interna[Data],"&lt;"&amp;C$6)-SUMIFS(Transferência_Interna[Valor],Transferência_Interna[Conta de Origem],X!$E$3,Transferência_Interna[Data],"&lt;"&amp;C$6)</f>
        <v>7740</v>
      </c>
      <c r="D8" s="120">
        <f>SUMIFS(Entradas[Valores],Entradas[Data do Recebimento],"&lt;"&amp;D$6,Entradas[Status],X!$E$2,Entradas[Conta Financeira],X!$E$3)-SUMIFS(Saidas[Valores],Saidas[Data do Pagamento],"&lt;"&amp;D$6,Saidas[Status],X!$E$2,Saidas[Conta Financeira],X!$E$3)+SUMIFS(Cadastros!$D$6:$D$19,Cadastros!$E$6:$E$19,"&lt;"&amp;D6,Cadastros!$B$6:$B$19,X!$E$3)+SUMIFS(Transferência_Interna[Valor],Transferência_Interna[Conta de Destino],X!$E$3,Transferência_Interna[Data],"&lt;"&amp;D$6)-SUMIFS(Transferência_Interna[Valor],Transferência_Interna[Conta de Origem],X!$E$3,Transferência_Interna[Data],"&lt;"&amp;D$6)</f>
        <v>7740</v>
      </c>
      <c r="E8" s="120">
        <f>SUMIFS(Entradas[Valores],Entradas[Data do Recebimento],"&lt;"&amp;E$6,Entradas[Status],X!$E$2,Entradas[Conta Financeira],X!$E$3)-SUMIFS(Saidas[Valores],Saidas[Data do Pagamento],"&lt;"&amp;E$6,Saidas[Status],X!$E$2,Saidas[Conta Financeira],X!$E$3)+SUMIFS(Cadastros!$D$6:$D$19,Cadastros!$E$6:$E$19,"&lt;"&amp;E6,Cadastros!$B$6:$B$19,X!$E$3)+SUMIFS(Transferência_Interna[Valor],Transferência_Interna[Conta de Destino],X!$E$3,Transferência_Interna[Data],"&lt;"&amp;E$6)-SUMIFS(Transferência_Interna[Valor],Transferência_Interna[Conta de Origem],X!$E$3,Transferência_Interna[Data],"&lt;"&amp;E$6)</f>
        <v>7740</v>
      </c>
      <c r="F8" s="120">
        <f>SUMIFS(Entradas[Valores],Entradas[Data do Recebimento],"&lt;"&amp;F$6,Entradas[Status],X!$E$2,Entradas[Conta Financeira],X!$E$3)-SUMIFS(Saidas[Valores],Saidas[Data do Pagamento],"&lt;"&amp;F$6,Saidas[Status],X!$E$2,Saidas[Conta Financeira],X!$E$3)+SUMIFS(Cadastros!$D$6:$D$19,Cadastros!$E$6:$E$19,"&lt;"&amp;F6,Cadastros!$B$6:$B$19,X!$E$3)+SUMIFS(Transferência_Interna[Valor],Transferência_Interna[Conta de Destino],X!$E$3,Transferência_Interna[Data],"&lt;"&amp;F$6)-SUMIFS(Transferência_Interna[Valor],Transferência_Interna[Conta de Origem],X!$E$3,Transferência_Interna[Data],"&lt;"&amp;F$6)</f>
        <v>7740</v>
      </c>
      <c r="G8" s="120">
        <f>SUMIFS(Entradas[Valores],Entradas[Data do Recebimento],"&lt;"&amp;G$6,Entradas[Status],X!$E$2,Entradas[Conta Financeira],X!$E$3)-SUMIFS(Saidas[Valores],Saidas[Data do Pagamento],"&lt;"&amp;G$6,Saidas[Status],X!$E$2,Saidas[Conta Financeira],X!$E$3)+SUMIFS(Cadastros!$D$6:$D$19,Cadastros!$E$6:$E$19,"&lt;"&amp;G6,Cadastros!$B$6:$B$19,X!$E$3)+SUMIFS(Transferência_Interna[Valor],Transferência_Interna[Conta de Destino],X!$E$3,Transferência_Interna[Data],"&lt;"&amp;G$6)-SUMIFS(Transferência_Interna[Valor],Transferência_Interna[Conta de Origem],X!$E$3,Transferência_Interna[Data],"&lt;"&amp;G$6)</f>
        <v>7740</v>
      </c>
      <c r="H8" s="120">
        <f>SUMIFS(Entradas[Valores],Entradas[Data do Recebimento],"&lt;"&amp;H$6,Entradas[Status],X!$E$2,Entradas[Conta Financeira],X!$E$3)-SUMIFS(Saidas[Valores],Saidas[Data do Pagamento],"&lt;"&amp;H$6,Saidas[Status],X!$E$2,Saidas[Conta Financeira],X!$E$3)+SUMIFS(Cadastros!$D$6:$D$19,Cadastros!$E$6:$E$19,"&lt;"&amp;H6,Cadastros!$B$6:$B$19,X!$E$3)+SUMIFS(Transferência_Interna[Valor],Transferência_Interna[Conta de Destino],X!$E$3,Transferência_Interna[Data],"&lt;"&amp;H$6)-SUMIFS(Transferência_Interna[Valor],Transferência_Interna[Conta de Origem],X!$E$3,Transferência_Interna[Data],"&lt;"&amp;H$6)</f>
        <v>7740</v>
      </c>
      <c r="I8" s="120">
        <f>SUMIFS(Entradas[Valores],Entradas[Data do Recebimento],"&lt;"&amp;I$6,Entradas[Status],X!$E$2,Entradas[Conta Financeira],X!$E$3)-SUMIFS(Saidas[Valores],Saidas[Data do Pagamento],"&lt;"&amp;I$6,Saidas[Status],X!$E$2,Saidas[Conta Financeira],X!$E$3)+SUMIFS(Cadastros!$D$6:$D$19,Cadastros!$E$6:$E$19,"&lt;"&amp;I6,Cadastros!$B$6:$B$19,X!$E$3)+SUMIFS(Transferência_Interna[Valor],Transferência_Interna[Conta de Destino],X!$E$3,Transferência_Interna[Data],"&lt;"&amp;I$6)-SUMIFS(Transferência_Interna[Valor],Transferência_Interna[Conta de Origem],X!$E$3,Transferência_Interna[Data],"&lt;"&amp;I$6)</f>
        <v>7740</v>
      </c>
      <c r="J8" s="120">
        <f>SUMIFS(Entradas[Valores],Entradas[Data do Recebimento],"&lt;"&amp;J$6,Entradas[Status],X!$E$2,Entradas[Conta Financeira],X!$E$3)-SUMIFS(Saidas[Valores],Saidas[Data do Pagamento],"&lt;"&amp;J$6,Saidas[Status],X!$E$2,Saidas[Conta Financeira],X!$E$3)+SUMIFS(Cadastros!$D$6:$D$19,Cadastros!$E$6:$E$19,"&lt;"&amp;J6,Cadastros!$B$6:$B$19,X!$E$3)+SUMIFS(Transferência_Interna[Valor],Transferência_Interna[Conta de Destino],X!$E$3,Transferência_Interna[Data],"&lt;"&amp;J$6)-SUMIFS(Transferência_Interna[Valor],Transferência_Interna[Conta de Origem],X!$E$3,Transferência_Interna[Data],"&lt;"&amp;J$6)</f>
        <v>7740</v>
      </c>
      <c r="K8" s="120">
        <f>SUMIFS(Entradas[Valores],Entradas[Data do Recebimento],"&lt;"&amp;K$6,Entradas[Status],X!$E$2,Entradas[Conta Financeira],X!$E$3)-SUMIFS(Saidas[Valores],Saidas[Data do Pagamento],"&lt;"&amp;K$6,Saidas[Status],X!$E$2,Saidas[Conta Financeira],X!$E$3)+SUMIFS(Cadastros!$D$6:$D$19,Cadastros!$E$6:$E$19,"&lt;"&amp;K6,Cadastros!$B$6:$B$19,X!$E$3)+SUMIFS(Transferência_Interna[Valor],Transferência_Interna[Conta de Destino],X!$E$3,Transferência_Interna[Data],"&lt;"&amp;K$6)-SUMIFS(Transferência_Interna[Valor],Transferência_Interna[Conta de Origem],X!$E$3,Transferência_Interna[Data],"&lt;"&amp;K$6)</f>
        <v>7740</v>
      </c>
      <c r="L8" s="120">
        <f>SUMIFS(Entradas[Valores],Entradas[Data do Recebimento],"&lt;"&amp;L$6,Entradas[Status],X!$E$2,Entradas[Conta Financeira],X!$E$3)-SUMIFS(Saidas[Valores],Saidas[Data do Pagamento],"&lt;"&amp;L$6,Saidas[Status],X!$E$2,Saidas[Conta Financeira],X!$E$3)+SUMIFS(Cadastros!$D$6:$D$19,Cadastros!$E$6:$E$19,"&lt;"&amp;L6,Cadastros!$B$6:$B$19,X!$E$3)+SUMIFS(Transferência_Interna[Valor],Transferência_Interna[Conta de Destino],X!$E$3,Transferência_Interna[Data],"&lt;"&amp;L$6)-SUMIFS(Transferência_Interna[Valor],Transferência_Interna[Conta de Origem],X!$E$3,Transferência_Interna[Data],"&lt;"&amp;L$6)</f>
        <v>7740</v>
      </c>
      <c r="M8" s="120">
        <f>SUMIFS(Entradas[Valores],Entradas[Data do Recebimento],"&lt;"&amp;M$6,Entradas[Status],X!$E$2,Entradas[Conta Financeira],X!$E$3)-SUMIFS(Saidas[Valores],Saidas[Data do Pagamento],"&lt;"&amp;M$6,Saidas[Status],X!$E$2,Saidas[Conta Financeira],X!$E$3)+SUMIFS(Cadastros!$D$6:$D$19,Cadastros!$E$6:$E$19,"&lt;"&amp;M6,Cadastros!$B$6:$B$19,X!$E$3)+SUMIFS(Transferência_Interna[Valor],Transferência_Interna[Conta de Destino],X!$E$3,Transferência_Interna[Data],"&lt;"&amp;M$6)-SUMIFS(Transferência_Interna[Valor],Transferência_Interna[Conta de Origem],X!$E$3,Transferência_Interna[Data],"&lt;"&amp;M$6)</f>
        <v>7740</v>
      </c>
      <c r="N8" s="120">
        <f>SUMIFS(Entradas[Valores],Entradas[Data do Recebimento],"&lt;"&amp;N$6,Entradas[Status],X!$E$2,Entradas[Conta Financeira],X!$E$3)-SUMIFS(Saidas[Valores],Saidas[Data do Pagamento],"&lt;"&amp;N$6,Saidas[Status],X!$E$2,Saidas[Conta Financeira],X!$E$3)+SUMIFS(Cadastros!$D$6:$D$19,Cadastros!$E$6:$E$19,"&lt;"&amp;N6,Cadastros!$B$6:$B$19,X!$E$3)+SUMIFS(Transferência_Interna[Valor],Transferência_Interna[Conta de Destino],X!$E$3,Transferência_Interna[Data],"&lt;"&amp;N$6)-SUMIFS(Transferência_Interna[Valor],Transferência_Interna[Conta de Origem],X!$E$3,Transferência_Interna[Data],"&lt;"&amp;N$6)</f>
        <v>-34673</v>
      </c>
      <c r="O8" s="200"/>
      <c r="P8" s="109"/>
    </row>
    <row r="9">
      <c r="A9" s="9"/>
      <c r="B9" s="202" t="s">
        <v>224</v>
      </c>
      <c r="C9" s="206">
        <f t="shared" ref="C9:N9" si="2">SUM(C10:C13)</f>
        <v>0</v>
      </c>
      <c r="D9" s="206">
        <f t="shared" si="2"/>
        <v>0</v>
      </c>
      <c r="E9" s="206">
        <f t="shared" si="2"/>
        <v>0</v>
      </c>
      <c r="F9" s="206">
        <f t="shared" si="2"/>
        <v>0</v>
      </c>
      <c r="G9" s="206">
        <f t="shared" si="2"/>
        <v>0</v>
      </c>
      <c r="H9" s="207">
        <f t="shared" si="2"/>
        <v>0</v>
      </c>
      <c r="I9" s="206">
        <f t="shared" si="2"/>
        <v>0</v>
      </c>
      <c r="J9" s="206">
        <f t="shared" si="2"/>
        <v>0</v>
      </c>
      <c r="K9" s="206">
        <f t="shared" si="2"/>
        <v>0</v>
      </c>
      <c r="L9" s="206">
        <f t="shared" si="2"/>
        <v>0</v>
      </c>
      <c r="M9" s="206">
        <f t="shared" si="2"/>
        <v>12900</v>
      </c>
      <c r="N9" s="206">
        <f t="shared" si="2"/>
        <v>3700</v>
      </c>
      <c r="O9" s="208">
        <f t="shared" ref="O9:O24" si="3">SUM(C9:N9)</f>
        <v>16600</v>
      </c>
      <c r="P9" s="9"/>
    </row>
    <row r="10">
      <c r="A10" s="9"/>
      <c r="B10" s="209" t="str">
        <f>X!V2</f>
        <v>Receitas Operacionais</v>
      </c>
      <c r="C10" s="212">
        <f>SUMIFS(Entradas[Valores],Entradas[Data do Recebimento],"&gt;="&amp;C$6,Entradas[Data do Recebimento],"&lt;"&amp;EDATE(C$6,1),Entradas[Categoria],$B10,Entradas[Status],X!$E$2,Entradas[Conta Financeira],X!$E$3,Entradas[Centro de Custos],X!$E$4)</f>
        <v>0</v>
      </c>
      <c r="D10" s="212">
        <f>SUMIFS(Entradas[Valores],Entradas[Data do Recebimento],"&gt;="&amp;D$6,Entradas[Data do Recebimento],"&lt;"&amp;EDATE(D$6,1),Entradas[Categoria],$B10,Entradas[Status],X!$E$2,Entradas[Conta Financeira],X!$E$3,Entradas[Centro de Custos],X!$E$4)</f>
        <v>0</v>
      </c>
      <c r="E10" s="212">
        <f>SUMIFS(Entradas[Valores],Entradas[Data do Recebimento],"&gt;="&amp;E$6,Entradas[Data do Recebimento],"&lt;"&amp;EDATE(E$6,1),Entradas[Categoria],$B10,Entradas[Status],X!$E$2,Entradas[Conta Financeira],X!$E$3,Entradas[Centro de Custos],X!$E$4)</f>
        <v>0</v>
      </c>
      <c r="F10" s="212">
        <f>SUMIFS(Entradas[Valores],Entradas[Data do Recebimento],"&gt;="&amp;F$6,Entradas[Data do Recebimento],"&lt;"&amp;EDATE(F$6,1),Entradas[Categoria],$B10,Entradas[Status],X!$E$2,Entradas[Conta Financeira],X!$E$3,Entradas[Centro de Custos],X!$E$4)</f>
        <v>0</v>
      </c>
      <c r="G10" s="212">
        <f>SUMIFS(Entradas[Valores],Entradas[Data do Recebimento],"&gt;="&amp;G$6,Entradas[Data do Recebimento],"&lt;"&amp;EDATE(G$6,1),Entradas[Categoria],$B10,Entradas[Status],X!$E$2,Entradas[Conta Financeira],X!$E$3,Entradas[Centro de Custos],X!$E$4)</f>
        <v>0</v>
      </c>
      <c r="H10" s="212">
        <f>SUMIFS(Entradas[Valores],Entradas[Data do Recebimento],"&gt;="&amp;H$6,Entradas[Data do Recebimento],"&lt;"&amp;EDATE(H$6,1),Entradas[Categoria],$B10,Entradas[Status],X!$E$2,Entradas[Conta Financeira],X!$E$3,Entradas[Centro de Custos],X!$E$4)</f>
        <v>0</v>
      </c>
      <c r="I10" s="212">
        <f>SUMIFS(Entradas[Valores],Entradas[Data do Recebimento],"&gt;="&amp;I$6,Entradas[Data do Recebimento],"&lt;"&amp;EDATE(I$6,1),Entradas[Categoria],$B10,Entradas[Status],X!$E$2,Entradas[Conta Financeira],X!$E$3,Entradas[Centro de Custos],X!$E$4)</f>
        <v>0</v>
      </c>
      <c r="J10" s="212">
        <f>SUMIFS(Entradas[Valores],Entradas[Data do Recebimento],"&gt;="&amp;J$6,Entradas[Data do Recebimento],"&lt;"&amp;EDATE(J$6,1),Entradas[Categoria],$B10,Entradas[Status],X!$E$2,Entradas[Conta Financeira],X!$E$3,Entradas[Centro de Custos],X!$E$4)</f>
        <v>0</v>
      </c>
      <c r="K10" s="212">
        <f>SUMIFS(Entradas[Valores],Entradas[Data do Recebimento],"&gt;="&amp;K$6,Entradas[Data do Recebimento],"&lt;"&amp;EDATE(K$6,1),Entradas[Categoria],$B10,Entradas[Status],X!$E$2,Entradas[Conta Financeira],X!$E$3,Entradas[Centro de Custos],X!$E$4)</f>
        <v>0</v>
      </c>
      <c r="L10" s="212">
        <f>SUMIFS(Entradas[Valores],Entradas[Data do Recebimento],"&gt;="&amp;L$6,Entradas[Data do Recebimento],"&lt;"&amp;EDATE(L$6,1),Entradas[Categoria],$B10,Entradas[Status],X!$E$2,Entradas[Conta Financeira],X!$E$3,Entradas[Centro de Custos],X!$E$4)</f>
        <v>0</v>
      </c>
      <c r="M10" s="212">
        <f>SUMIFS(Entradas[Valores],Entradas[Data do Recebimento],"&gt;="&amp;M$6,Entradas[Data do Recebimento],"&lt;"&amp;EDATE(M$6,1),Entradas[Categoria],$B10,Entradas[Status],X!$E$2,Entradas[Conta Financeira],X!$E$3,Entradas[Centro de Custos],X!$E$4)</f>
        <v>2900</v>
      </c>
      <c r="N10" s="212">
        <f>SUMIFS(Entradas[Valores],Entradas[Data do Recebimento],"&gt;="&amp;N$6,Entradas[Data do Recebimento],"&lt;"&amp;EDATE(N$6,1),Entradas[Categoria],$B10,Entradas[Status],X!$E$2,Entradas[Conta Financeira],X!$E$3,Entradas[Centro de Custos],X!$E$4)</f>
        <v>3700</v>
      </c>
      <c r="O10" s="219">
        <f t="shared" si="3"/>
        <v>6600</v>
      </c>
      <c r="P10" s="9"/>
    </row>
    <row r="11">
      <c r="A11" s="9"/>
      <c r="B11" s="209" t="str">
        <f>X!V3</f>
        <v>Outras Receitas Operacionais</v>
      </c>
      <c r="C11" s="212">
        <f>SUMIFS(Entradas[Valores],Entradas[Data do Recebimento],"&gt;="&amp;C$6,Entradas[Data do Recebimento],"&lt;"&amp;EDATE(C$6,1),Entradas[Categoria],$B11,Entradas[Status],X!$E$2,Entradas[Conta Financeira],X!$E$3,Entradas[Centro de Custos],X!$E$4)</f>
        <v>0</v>
      </c>
      <c r="D11" s="212">
        <f>SUMIFS(Entradas[Valores],Entradas[Data do Recebimento],"&gt;="&amp;D$6,Entradas[Data do Recebimento],"&lt;"&amp;EDATE(D$6,1),Entradas[Categoria],$B11,Entradas[Status],X!$E$2,Entradas[Conta Financeira],X!$E$3,Entradas[Centro de Custos],X!$E$4)</f>
        <v>0</v>
      </c>
      <c r="E11" s="212">
        <f>SUMIFS(Entradas[Valores],Entradas[Data do Recebimento],"&gt;="&amp;E$6,Entradas[Data do Recebimento],"&lt;"&amp;EDATE(E$6,1),Entradas[Categoria],$B11,Entradas[Status],X!$E$2,Entradas[Conta Financeira],X!$E$3,Entradas[Centro de Custos],X!$E$4)</f>
        <v>0</v>
      </c>
      <c r="F11" s="212">
        <f>SUMIFS(Entradas[Valores],Entradas[Data do Recebimento],"&gt;="&amp;F$6,Entradas[Data do Recebimento],"&lt;"&amp;EDATE(F$6,1),Entradas[Categoria],$B11,Entradas[Status],X!$E$2,Entradas[Conta Financeira],X!$E$3,Entradas[Centro de Custos],X!$E$4)</f>
        <v>0</v>
      </c>
      <c r="G11" s="212">
        <f>SUMIFS(Entradas[Valores],Entradas[Data do Recebimento],"&gt;="&amp;G$6,Entradas[Data do Recebimento],"&lt;"&amp;EDATE(G$6,1),Entradas[Categoria],$B11,Entradas[Status],X!$E$2,Entradas[Conta Financeira],X!$E$3,Entradas[Centro de Custos],X!$E$4)</f>
        <v>0</v>
      </c>
      <c r="H11" s="212">
        <f>SUMIFS(Entradas[Valores],Entradas[Data do Recebimento],"&gt;="&amp;H$6,Entradas[Data do Recebimento],"&lt;"&amp;EDATE(H$6,1),Entradas[Categoria],$B11,Entradas[Status],X!$E$2,Entradas[Conta Financeira],X!$E$3,Entradas[Centro de Custos],X!$E$4)</f>
        <v>0</v>
      </c>
      <c r="I11" s="212">
        <f>SUMIFS(Entradas[Valores],Entradas[Data do Recebimento],"&gt;="&amp;I$6,Entradas[Data do Recebimento],"&lt;"&amp;EDATE(I$6,1),Entradas[Categoria],$B11,Entradas[Status],X!$E$2,Entradas[Conta Financeira],X!$E$3,Entradas[Centro de Custos],X!$E$4)</f>
        <v>0</v>
      </c>
      <c r="J11" s="212">
        <f>SUMIFS(Entradas[Valores],Entradas[Data do Recebimento],"&gt;="&amp;J$6,Entradas[Data do Recebimento],"&lt;"&amp;EDATE(J$6,1),Entradas[Categoria],$B11,Entradas[Status],X!$E$2,Entradas[Conta Financeira],X!$E$3,Entradas[Centro de Custos],X!$E$4)</f>
        <v>0</v>
      </c>
      <c r="K11" s="212">
        <f>SUMIFS(Entradas[Valores],Entradas[Data do Recebimento],"&gt;="&amp;K$6,Entradas[Data do Recebimento],"&lt;"&amp;EDATE(K$6,1),Entradas[Categoria],$B11,Entradas[Status],X!$E$2,Entradas[Conta Financeira],X!$E$3,Entradas[Centro de Custos],X!$E$4)</f>
        <v>0</v>
      </c>
      <c r="L11" s="212">
        <f>SUMIFS(Entradas[Valores],Entradas[Data do Recebimento],"&gt;="&amp;L$6,Entradas[Data do Recebimento],"&lt;"&amp;EDATE(L$6,1),Entradas[Categoria],$B11,Entradas[Status],X!$E$2,Entradas[Conta Financeira],X!$E$3,Entradas[Centro de Custos],X!$E$4)</f>
        <v>0</v>
      </c>
      <c r="M11" s="212">
        <f>SUMIFS(Entradas[Valores],Entradas[Data do Recebimento],"&gt;="&amp;M$6,Entradas[Data do Recebimento],"&lt;"&amp;EDATE(M$6,1),Entradas[Categoria],$B11,Entradas[Status],X!$E$2,Entradas[Conta Financeira],X!$E$3,Entradas[Centro de Custos],X!$E$4)</f>
        <v>0</v>
      </c>
      <c r="N11" s="212">
        <f>SUMIFS(Entradas[Valores],Entradas[Data do Recebimento],"&gt;="&amp;N$6,Entradas[Data do Recebimento],"&lt;"&amp;EDATE(N$6,1),Entradas[Categoria],$B11,Entradas[Status],X!$E$2,Entradas[Conta Financeira],X!$E$3,Entradas[Centro de Custos],X!$E$4)</f>
        <v>0</v>
      </c>
      <c r="O11" s="219">
        <f t="shared" si="3"/>
        <v>0</v>
      </c>
      <c r="P11" s="9"/>
    </row>
    <row r="12">
      <c r="A12" s="9"/>
      <c r="B12" s="209" t="str">
        <f>X!V4</f>
        <v>Receitas Financeiras</v>
      </c>
      <c r="C12" s="212">
        <f>SUMIFS(Entradas[Valores],Entradas[Data do Recebimento],"&gt;="&amp;C$6,Entradas[Data do Recebimento],"&lt;"&amp;EDATE(C$6,1),Entradas[Categoria],$B12,Entradas[Status],X!$E$2,Entradas[Conta Financeira],X!$E$3,Entradas[Centro de Custos],X!$E$4)</f>
        <v>0</v>
      </c>
      <c r="D12" s="212">
        <f>SUMIFS(Entradas[Valores],Entradas[Data do Recebimento],"&gt;="&amp;D$6,Entradas[Data do Recebimento],"&lt;"&amp;EDATE(D$6,1),Entradas[Categoria],$B12,Entradas[Status],X!$E$2,Entradas[Conta Financeira],X!$E$3,Entradas[Centro de Custos],X!$E$4)</f>
        <v>0</v>
      </c>
      <c r="E12" s="212">
        <f>SUMIFS(Entradas[Valores],Entradas[Data do Recebimento],"&gt;="&amp;E$6,Entradas[Data do Recebimento],"&lt;"&amp;EDATE(E$6,1),Entradas[Categoria],$B12,Entradas[Status],X!$E$2,Entradas[Conta Financeira],X!$E$3,Entradas[Centro de Custos],X!$E$4)</f>
        <v>0</v>
      </c>
      <c r="F12" s="212">
        <f>SUMIFS(Entradas[Valores],Entradas[Data do Recebimento],"&gt;="&amp;F$6,Entradas[Data do Recebimento],"&lt;"&amp;EDATE(F$6,1),Entradas[Categoria],$B12,Entradas[Status],X!$E$2,Entradas[Conta Financeira],X!$E$3,Entradas[Centro de Custos],X!$E$4)</f>
        <v>0</v>
      </c>
      <c r="G12" s="212">
        <f>SUMIFS(Entradas[Valores],Entradas[Data do Recebimento],"&gt;="&amp;G$6,Entradas[Data do Recebimento],"&lt;"&amp;EDATE(G$6,1),Entradas[Categoria],$B12,Entradas[Status],X!$E$2,Entradas[Conta Financeira],X!$E$3,Entradas[Centro de Custos],X!$E$4)</f>
        <v>0</v>
      </c>
      <c r="H12" s="212">
        <f>SUMIFS(Entradas[Valores],Entradas[Data do Recebimento],"&gt;="&amp;H$6,Entradas[Data do Recebimento],"&lt;"&amp;EDATE(H$6,1),Entradas[Categoria],$B12,Entradas[Status],X!$E$2,Entradas[Conta Financeira],X!$E$3,Entradas[Centro de Custos],X!$E$4)</f>
        <v>0</v>
      </c>
      <c r="I12" s="212">
        <f>SUMIFS(Entradas[Valores],Entradas[Data do Recebimento],"&gt;="&amp;I$6,Entradas[Data do Recebimento],"&lt;"&amp;EDATE(I$6,1),Entradas[Categoria],$B12,Entradas[Status],X!$E$2,Entradas[Conta Financeira],X!$E$3,Entradas[Centro de Custos],X!$E$4)</f>
        <v>0</v>
      </c>
      <c r="J12" s="212">
        <f>SUMIFS(Entradas[Valores],Entradas[Data do Recebimento],"&gt;="&amp;J$6,Entradas[Data do Recebimento],"&lt;"&amp;EDATE(J$6,1),Entradas[Categoria],$B12,Entradas[Status],X!$E$2,Entradas[Conta Financeira],X!$E$3,Entradas[Centro de Custos],X!$E$4)</f>
        <v>0</v>
      </c>
      <c r="K12" s="212">
        <f>SUMIFS(Entradas[Valores],Entradas[Data do Recebimento],"&gt;="&amp;K$6,Entradas[Data do Recebimento],"&lt;"&amp;EDATE(K$6,1),Entradas[Categoria],$B12,Entradas[Status],X!$E$2,Entradas[Conta Financeira],X!$E$3,Entradas[Centro de Custos],X!$E$4)</f>
        <v>0</v>
      </c>
      <c r="L12" s="212">
        <f>SUMIFS(Entradas[Valores],Entradas[Data do Recebimento],"&gt;="&amp;L$6,Entradas[Data do Recebimento],"&lt;"&amp;EDATE(L$6,1),Entradas[Categoria],$B12,Entradas[Status],X!$E$2,Entradas[Conta Financeira],X!$E$3,Entradas[Centro de Custos],X!$E$4)</f>
        <v>0</v>
      </c>
      <c r="M12" s="212">
        <f>SUMIFS(Entradas[Valores],Entradas[Data do Recebimento],"&gt;="&amp;M$6,Entradas[Data do Recebimento],"&lt;"&amp;EDATE(M$6,1),Entradas[Categoria],$B12,Entradas[Status],X!$E$2,Entradas[Conta Financeira],X!$E$3,Entradas[Centro de Custos],X!$E$4)</f>
        <v>0</v>
      </c>
      <c r="N12" s="212">
        <f>SUMIFS(Entradas[Valores],Entradas[Data do Recebimento],"&gt;="&amp;N$6,Entradas[Data do Recebimento],"&lt;"&amp;EDATE(N$6,1),Entradas[Categoria],$B12,Entradas[Status],X!$E$2,Entradas[Conta Financeira],X!$E$3,Entradas[Centro de Custos],X!$E$4)</f>
        <v>0</v>
      </c>
      <c r="O12" s="219">
        <f t="shared" si="3"/>
        <v>0</v>
      </c>
      <c r="P12" s="9"/>
    </row>
    <row r="13">
      <c r="A13" s="9"/>
      <c r="B13" s="209" t="str">
        <f>X!V5</f>
        <v>Receitas não operacionais</v>
      </c>
      <c r="C13" s="212">
        <f>SUMIFS(Entradas[Valores],Entradas[Data do Recebimento],"&gt;="&amp;C$6,Entradas[Data do Recebimento],"&lt;"&amp;EDATE(C$6,1),Entradas[Categoria],$B13,Entradas[Status],X!$E$2,Entradas[Conta Financeira],X!$E$3,Entradas[Centro de Custos],X!$E$4)</f>
        <v>0</v>
      </c>
      <c r="D13" s="212">
        <f>SUMIFS(Entradas[Valores],Entradas[Data do Recebimento],"&gt;="&amp;D$6,Entradas[Data do Recebimento],"&lt;"&amp;EDATE(D$6,1),Entradas[Categoria],$B13,Entradas[Status],X!$E$2,Entradas[Conta Financeira],X!$E$3,Entradas[Centro de Custos],X!$E$4)</f>
        <v>0</v>
      </c>
      <c r="E13" s="212">
        <f>SUMIFS(Entradas[Valores],Entradas[Data do Recebimento],"&gt;="&amp;E$6,Entradas[Data do Recebimento],"&lt;"&amp;EDATE(E$6,1),Entradas[Categoria],$B13,Entradas[Status],X!$E$2,Entradas[Conta Financeira],X!$E$3,Entradas[Centro de Custos],X!$E$4)</f>
        <v>0</v>
      </c>
      <c r="F13" s="212">
        <f>SUMIFS(Entradas[Valores],Entradas[Data do Recebimento],"&gt;="&amp;F$6,Entradas[Data do Recebimento],"&lt;"&amp;EDATE(F$6,1),Entradas[Categoria],$B13,Entradas[Status],X!$E$2,Entradas[Conta Financeira],X!$E$3,Entradas[Centro de Custos],X!$E$4)</f>
        <v>0</v>
      </c>
      <c r="G13" s="212">
        <f>SUMIFS(Entradas[Valores],Entradas[Data do Recebimento],"&gt;="&amp;G$6,Entradas[Data do Recebimento],"&lt;"&amp;EDATE(G$6,1),Entradas[Categoria],$B13,Entradas[Status],X!$E$2,Entradas[Conta Financeira],X!$E$3,Entradas[Centro de Custos],X!$E$4)</f>
        <v>0</v>
      </c>
      <c r="H13" s="212">
        <f>SUMIFS(Entradas[Valores],Entradas[Data do Recebimento],"&gt;="&amp;H$6,Entradas[Data do Recebimento],"&lt;"&amp;EDATE(H$6,1),Entradas[Categoria],$B13,Entradas[Status],X!$E$2,Entradas[Conta Financeira],X!$E$3,Entradas[Centro de Custos],X!$E$4)</f>
        <v>0</v>
      </c>
      <c r="I13" s="212">
        <f>SUMIFS(Entradas[Valores],Entradas[Data do Recebimento],"&gt;="&amp;I$6,Entradas[Data do Recebimento],"&lt;"&amp;EDATE(I$6,1),Entradas[Categoria],$B13,Entradas[Status],X!$E$2,Entradas[Conta Financeira],X!$E$3,Entradas[Centro de Custos],X!$E$4)</f>
        <v>0</v>
      </c>
      <c r="J13" s="212">
        <f>SUMIFS(Entradas[Valores],Entradas[Data do Recebimento],"&gt;="&amp;J$6,Entradas[Data do Recebimento],"&lt;"&amp;EDATE(J$6,1),Entradas[Categoria],$B13,Entradas[Status],X!$E$2,Entradas[Conta Financeira],X!$E$3,Entradas[Centro de Custos],X!$E$4)</f>
        <v>0</v>
      </c>
      <c r="K13" s="212">
        <f>SUMIFS(Entradas[Valores],Entradas[Data do Recebimento],"&gt;="&amp;K$6,Entradas[Data do Recebimento],"&lt;"&amp;EDATE(K$6,1),Entradas[Categoria],$B13,Entradas[Status],X!$E$2,Entradas[Conta Financeira],X!$E$3,Entradas[Centro de Custos],X!$E$4)</f>
        <v>0</v>
      </c>
      <c r="L13" s="212">
        <f>SUMIFS(Entradas[Valores],Entradas[Data do Recebimento],"&gt;="&amp;L$6,Entradas[Data do Recebimento],"&lt;"&amp;EDATE(L$6,1),Entradas[Categoria],$B13,Entradas[Status],X!$E$2,Entradas[Conta Financeira],X!$E$3,Entradas[Centro de Custos],X!$E$4)</f>
        <v>0</v>
      </c>
      <c r="M13" s="212">
        <f>SUMIFS(Entradas[Valores],Entradas[Data do Recebimento],"&gt;="&amp;M$6,Entradas[Data do Recebimento],"&lt;"&amp;EDATE(M$6,1),Entradas[Categoria],$B13,Entradas[Status],X!$E$2,Entradas[Conta Financeira],X!$E$3,Entradas[Centro de Custos],X!$E$4)</f>
        <v>10000</v>
      </c>
      <c r="N13" s="212">
        <f>SUMIFS(Entradas[Valores],Entradas[Data do Recebimento],"&gt;="&amp;N$6,Entradas[Data do Recebimento],"&lt;"&amp;EDATE(N$6,1),Entradas[Categoria],$B13,Entradas[Status],X!$E$2,Entradas[Conta Financeira],X!$E$3,Entradas[Centro de Custos],X!$E$4)</f>
        <v>0</v>
      </c>
      <c r="O13" s="219">
        <f t="shared" si="3"/>
        <v>10000</v>
      </c>
      <c r="P13" s="9"/>
    </row>
    <row r="14">
      <c r="A14" s="9"/>
      <c r="B14" s="268" t="s">
        <v>227</v>
      </c>
      <c r="C14" s="269">
        <f t="shared" ref="C14:N14" si="4">SUM(C15:C24)</f>
        <v>0</v>
      </c>
      <c r="D14" s="269">
        <f t="shared" si="4"/>
        <v>0</v>
      </c>
      <c r="E14" s="269">
        <f t="shared" si="4"/>
        <v>0</v>
      </c>
      <c r="F14" s="269">
        <f t="shared" si="4"/>
        <v>0</v>
      </c>
      <c r="G14" s="269">
        <f t="shared" si="4"/>
        <v>0</v>
      </c>
      <c r="H14" s="269">
        <f t="shared" si="4"/>
        <v>0</v>
      </c>
      <c r="I14" s="269">
        <f t="shared" si="4"/>
        <v>0</v>
      </c>
      <c r="J14" s="269">
        <f t="shared" si="4"/>
        <v>0</v>
      </c>
      <c r="K14" s="269">
        <f t="shared" si="4"/>
        <v>0</v>
      </c>
      <c r="L14" s="269">
        <f t="shared" si="4"/>
        <v>0</v>
      </c>
      <c r="M14" s="269">
        <f t="shared" si="4"/>
        <v>55313</v>
      </c>
      <c r="N14" s="269">
        <f t="shared" si="4"/>
        <v>0</v>
      </c>
      <c r="O14" s="270">
        <f t="shared" si="3"/>
        <v>55313</v>
      </c>
      <c r="P14" s="9"/>
    </row>
    <row r="15">
      <c r="A15" s="9"/>
      <c r="B15" s="209" t="str">
        <f>X!V6</f>
        <v>Deduções sobre vendas</v>
      </c>
      <c r="C15" s="212">
        <f>SUMIFS(Saidas[Valores],Saidas[Data do Pagamento],"&gt;="&amp;C$6,Saidas[Data do Pagamento],"&lt;"&amp;EDATE(C$6,1),Saidas[Categoria],$B15,Saidas[Status],X!$E$2,Saidas[Conta Financeira],X!$E$3,Saidas[Centro de Custos],X!$E$4)</f>
        <v>0</v>
      </c>
      <c r="D15" s="212">
        <f>SUMIFS(Saidas[Valores],Saidas[Data do Pagamento],"&gt;="&amp;D$6,Saidas[Data do Pagamento],"&lt;"&amp;EDATE(D$6,1),Saidas[Categoria],$B15,Saidas[Status],X!$E$2,Saidas[Conta Financeira],X!$E$3,Saidas[Centro de Custos],X!$E$4)</f>
        <v>0</v>
      </c>
      <c r="E15" s="212">
        <f>SUMIFS(Saidas[Valores],Saidas[Data do Pagamento],"&gt;="&amp;E$6,Saidas[Data do Pagamento],"&lt;"&amp;EDATE(E$6,1),Saidas[Categoria],$B15,Saidas[Status],X!$E$2,Saidas[Conta Financeira],X!$E$3,Saidas[Centro de Custos],X!$E$4)</f>
        <v>0</v>
      </c>
      <c r="F15" s="212">
        <f>SUMIFS(Saidas[Valores],Saidas[Data do Pagamento],"&gt;="&amp;F$6,Saidas[Data do Pagamento],"&lt;"&amp;EDATE(F$6,1),Saidas[Categoria],$B15,Saidas[Status],X!$E$2,Saidas[Conta Financeira],X!$E$3,Saidas[Centro de Custos],X!$E$4)</f>
        <v>0</v>
      </c>
      <c r="G15" s="212">
        <f>SUMIFS(Saidas[Valores],Saidas[Data do Pagamento],"&gt;="&amp;G$6,Saidas[Data do Pagamento],"&lt;"&amp;EDATE(G$6,1),Saidas[Categoria],$B15,Saidas[Status],X!$E$2,Saidas[Conta Financeira],X!$E$3,Saidas[Centro de Custos],X!$E$4)</f>
        <v>0</v>
      </c>
      <c r="H15" s="212">
        <f>SUMIFS(Saidas[Valores],Saidas[Data do Pagamento],"&gt;="&amp;H$6,Saidas[Data do Pagamento],"&lt;"&amp;EDATE(H$6,1),Saidas[Categoria],$B15,Saidas[Status],X!$E$2,Saidas[Conta Financeira],X!$E$3,Saidas[Centro de Custos],X!$E$4)</f>
        <v>0</v>
      </c>
      <c r="I15" s="212">
        <f>SUMIFS(Saidas[Valores],Saidas[Data do Pagamento],"&gt;="&amp;I$6,Saidas[Data do Pagamento],"&lt;"&amp;EDATE(I$6,1),Saidas[Categoria],$B15,Saidas[Status],X!$E$2,Saidas[Conta Financeira],X!$E$3,Saidas[Centro de Custos],X!$E$4)</f>
        <v>0</v>
      </c>
      <c r="J15" s="212">
        <f>SUMIFS(Saidas[Valores],Saidas[Data do Pagamento],"&gt;="&amp;J$6,Saidas[Data do Pagamento],"&lt;"&amp;EDATE(J$6,1),Saidas[Categoria],$B15,Saidas[Status],X!$E$2,Saidas[Conta Financeira],X!$E$3,Saidas[Centro de Custos],X!$E$4)</f>
        <v>0</v>
      </c>
      <c r="K15" s="212">
        <f>SUMIFS(Saidas[Valores],Saidas[Data do Pagamento],"&gt;="&amp;K$6,Saidas[Data do Pagamento],"&lt;"&amp;EDATE(K$6,1),Saidas[Categoria],$B15,Saidas[Status],X!$E$2,Saidas[Conta Financeira],X!$E$3,Saidas[Centro de Custos],X!$E$4)</f>
        <v>0</v>
      </c>
      <c r="L15" s="212">
        <f>SUMIFS(Saidas[Valores],Saidas[Data do Pagamento],"&gt;="&amp;L$6,Saidas[Data do Pagamento],"&lt;"&amp;EDATE(L$6,1),Saidas[Categoria],$B15,Saidas[Status],X!$E$2,Saidas[Conta Financeira],X!$E$3,Saidas[Centro de Custos],X!$E$4)</f>
        <v>0</v>
      </c>
      <c r="M15" s="212">
        <f>SUMIFS(Saidas[Valores],Saidas[Data do Pagamento],"&gt;="&amp;M$6,Saidas[Data do Pagamento],"&lt;"&amp;EDATE(M$6,1),Saidas[Categoria],$B15,Saidas[Status],X!$E$2,Saidas[Conta Financeira],X!$E$3,Saidas[Centro de Custos],X!$E$4)</f>
        <v>0</v>
      </c>
      <c r="N15" s="212">
        <f>SUMIFS(Saidas[Valores],Saidas[Data do Pagamento],"&gt;="&amp;N$6,Saidas[Data do Pagamento],"&lt;"&amp;EDATE(N$6,1),Saidas[Categoria],$B15,Saidas[Status],X!$E$2,Saidas[Conta Financeira],X!$E$3,Saidas[Centro de Custos],X!$E$4)</f>
        <v>0</v>
      </c>
      <c r="O15" s="272">
        <f t="shared" si="3"/>
        <v>0</v>
      </c>
      <c r="P15" s="9"/>
    </row>
    <row r="16">
      <c r="A16" s="9"/>
      <c r="B16" s="209" t="str">
        <f>X!V7</f>
        <v>Custo das Vendas</v>
      </c>
      <c r="C16" s="212">
        <f>SUMIFS(Saidas[Valores],Saidas[Data do Pagamento],"&gt;="&amp;C$6,Saidas[Data do Pagamento],"&lt;"&amp;EDATE(C$6,1),Saidas[Categoria],$B16,Saidas[Status],X!$E$2,Saidas[Conta Financeira],X!$E$3,Saidas[Centro de Custos],X!$E$4)</f>
        <v>0</v>
      </c>
      <c r="D16" s="212">
        <f>SUMIFS(Saidas[Valores],Saidas[Data do Pagamento],"&gt;="&amp;D$6,Saidas[Data do Pagamento],"&lt;"&amp;EDATE(D$6,1),Saidas[Categoria],$B16,Saidas[Status],X!$E$2,Saidas[Conta Financeira],X!$E$3,Saidas[Centro de Custos],X!$E$4)</f>
        <v>0</v>
      </c>
      <c r="E16" s="212">
        <f>SUMIFS(Saidas[Valores],Saidas[Data do Pagamento],"&gt;="&amp;E$6,Saidas[Data do Pagamento],"&lt;"&amp;EDATE(E$6,1),Saidas[Categoria],$B16,Saidas[Status],X!$E$2,Saidas[Conta Financeira],X!$E$3,Saidas[Centro de Custos],X!$E$4)</f>
        <v>0</v>
      </c>
      <c r="F16" s="212">
        <f>SUMIFS(Saidas[Valores],Saidas[Data do Pagamento],"&gt;="&amp;F$6,Saidas[Data do Pagamento],"&lt;"&amp;EDATE(F$6,1),Saidas[Categoria],$B16,Saidas[Status],X!$E$2,Saidas[Conta Financeira],X!$E$3,Saidas[Centro de Custos],X!$E$4)</f>
        <v>0</v>
      </c>
      <c r="G16" s="212">
        <f>SUMIFS(Saidas[Valores],Saidas[Data do Pagamento],"&gt;="&amp;G$6,Saidas[Data do Pagamento],"&lt;"&amp;EDATE(G$6,1),Saidas[Categoria],$B16,Saidas[Status],X!$E$2,Saidas[Conta Financeira],X!$E$3,Saidas[Centro de Custos],X!$E$4)</f>
        <v>0</v>
      </c>
      <c r="H16" s="212">
        <f>SUMIFS(Saidas[Valores],Saidas[Data do Pagamento],"&gt;="&amp;H$6,Saidas[Data do Pagamento],"&lt;"&amp;EDATE(H$6,1),Saidas[Categoria],$B16,Saidas[Status],X!$E$2,Saidas[Conta Financeira],X!$E$3,Saidas[Centro de Custos],X!$E$4)</f>
        <v>0</v>
      </c>
      <c r="I16" s="212">
        <f>SUMIFS(Saidas[Valores],Saidas[Data do Pagamento],"&gt;="&amp;I$6,Saidas[Data do Pagamento],"&lt;"&amp;EDATE(I$6,1),Saidas[Categoria],$B16,Saidas[Status],X!$E$2,Saidas[Conta Financeira],X!$E$3,Saidas[Centro de Custos],X!$E$4)</f>
        <v>0</v>
      </c>
      <c r="J16" s="212">
        <f>SUMIFS(Saidas[Valores],Saidas[Data do Pagamento],"&gt;="&amp;J$6,Saidas[Data do Pagamento],"&lt;"&amp;EDATE(J$6,1),Saidas[Categoria],$B16,Saidas[Status],X!$E$2,Saidas[Conta Financeira],X!$E$3,Saidas[Centro de Custos],X!$E$4)</f>
        <v>0</v>
      </c>
      <c r="K16" s="212">
        <f>SUMIFS(Saidas[Valores],Saidas[Data do Pagamento],"&gt;="&amp;K$6,Saidas[Data do Pagamento],"&lt;"&amp;EDATE(K$6,1),Saidas[Categoria],$B16,Saidas[Status],X!$E$2,Saidas[Conta Financeira],X!$E$3,Saidas[Centro de Custos],X!$E$4)</f>
        <v>0</v>
      </c>
      <c r="L16" s="212">
        <f>SUMIFS(Saidas[Valores],Saidas[Data do Pagamento],"&gt;="&amp;L$6,Saidas[Data do Pagamento],"&lt;"&amp;EDATE(L$6,1),Saidas[Categoria],$B16,Saidas[Status],X!$E$2,Saidas[Conta Financeira],X!$E$3,Saidas[Centro de Custos],X!$E$4)</f>
        <v>0</v>
      </c>
      <c r="M16" s="212">
        <f>SUMIFS(Saidas[Valores],Saidas[Data do Pagamento],"&gt;="&amp;M$6,Saidas[Data do Pagamento],"&lt;"&amp;EDATE(M$6,1),Saidas[Categoria],$B16,Saidas[Status],X!$E$2,Saidas[Conta Financeira],X!$E$3,Saidas[Centro de Custos],X!$E$4)</f>
        <v>8123</v>
      </c>
      <c r="N16" s="212">
        <f>SUMIFS(Saidas[Valores],Saidas[Data do Pagamento],"&gt;="&amp;N$6,Saidas[Data do Pagamento],"&lt;"&amp;EDATE(N$6,1),Saidas[Categoria],$B16,Saidas[Status],X!$E$2,Saidas[Conta Financeira],X!$E$3,Saidas[Centro de Custos],X!$E$4)</f>
        <v>0</v>
      </c>
      <c r="O16" s="272">
        <f t="shared" si="3"/>
        <v>8123</v>
      </c>
      <c r="P16" s="9"/>
    </row>
    <row r="17">
      <c r="A17" s="9"/>
      <c r="B17" s="209" t="str">
        <f>X!V8</f>
        <v>Despesas administrativas</v>
      </c>
      <c r="C17" s="212">
        <f>SUMIFS(Saidas[Valores],Saidas[Data do Pagamento],"&gt;="&amp;C$6,Saidas[Data do Pagamento],"&lt;"&amp;EDATE(C$6,1),Saidas[Categoria],$B17,Saidas[Status],X!$E$2,Saidas[Conta Financeira],X!$E$3,Saidas[Centro de Custos],X!$E$4)</f>
        <v>0</v>
      </c>
      <c r="D17" s="212">
        <f>SUMIFS(Saidas[Valores],Saidas[Data do Pagamento],"&gt;="&amp;D$6,Saidas[Data do Pagamento],"&lt;"&amp;EDATE(D$6,1),Saidas[Categoria],$B17,Saidas[Status],X!$E$2,Saidas[Conta Financeira],X!$E$3,Saidas[Centro de Custos],X!$E$4)</f>
        <v>0</v>
      </c>
      <c r="E17" s="212">
        <f>SUMIFS(Saidas[Valores],Saidas[Data do Pagamento],"&gt;="&amp;E$6,Saidas[Data do Pagamento],"&lt;"&amp;EDATE(E$6,1),Saidas[Categoria],$B17,Saidas[Status],X!$E$2,Saidas[Conta Financeira],X!$E$3,Saidas[Centro de Custos],X!$E$4)</f>
        <v>0</v>
      </c>
      <c r="F17" s="212">
        <f>SUMIFS(Saidas[Valores],Saidas[Data do Pagamento],"&gt;="&amp;F$6,Saidas[Data do Pagamento],"&lt;"&amp;EDATE(F$6,1),Saidas[Categoria],$B17,Saidas[Status],X!$E$2,Saidas[Conta Financeira],X!$E$3,Saidas[Centro de Custos],X!$E$4)</f>
        <v>0</v>
      </c>
      <c r="G17" s="212">
        <f>SUMIFS(Saidas[Valores],Saidas[Data do Pagamento],"&gt;="&amp;G$6,Saidas[Data do Pagamento],"&lt;"&amp;EDATE(G$6,1),Saidas[Categoria],$B17,Saidas[Status],X!$E$2,Saidas[Conta Financeira],X!$E$3,Saidas[Centro de Custos],X!$E$4)</f>
        <v>0</v>
      </c>
      <c r="H17" s="212">
        <f>SUMIFS(Saidas[Valores],Saidas[Data do Pagamento],"&gt;="&amp;H$6,Saidas[Data do Pagamento],"&lt;"&amp;EDATE(H$6,1),Saidas[Categoria],$B17,Saidas[Status],X!$E$2,Saidas[Conta Financeira],X!$E$3,Saidas[Centro de Custos],X!$E$4)</f>
        <v>0</v>
      </c>
      <c r="I17" s="212">
        <f>SUMIFS(Saidas[Valores],Saidas[Data do Pagamento],"&gt;="&amp;I$6,Saidas[Data do Pagamento],"&lt;"&amp;EDATE(I$6,1),Saidas[Categoria],$B17,Saidas[Status],X!$E$2,Saidas[Conta Financeira],X!$E$3,Saidas[Centro de Custos],X!$E$4)</f>
        <v>0</v>
      </c>
      <c r="J17" s="212">
        <f>SUMIFS(Saidas[Valores],Saidas[Data do Pagamento],"&gt;="&amp;J$6,Saidas[Data do Pagamento],"&lt;"&amp;EDATE(J$6,1),Saidas[Categoria],$B17,Saidas[Status],X!$E$2,Saidas[Conta Financeira],X!$E$3,Saidas[Centro de Custos],X!$E$4)</f>
        <v>0</v>
      </c>
      <c r="K17" s="212">
        <f>SUMIFS(Saidas[Valores],Saidas[Data do Pagamento],"&gt;="&amp;K$6,Saidas[Data do Pagamento],"&lt;"&amp;EDATE(K$6,1),Saidas[Categoria],$B17,Saidas[Status],X!$E$2,Saidas[Conta Financeira],X!$E$3,Saidas[Centro de Custos],X!$E$4)</f>
        <v>0</v>
      </c>
      <c r="L17" s="212">
        <f>SUMIFS(Saidas[Valores],Saidas[Data do Pagamento],"&gt;="&amp;L$6,Saidas[Data do Pagamento],"&lt;"&amp;EDATE(L$6,1),Saidas[Categoria],$B17,Saidas[Status],X!$E$2,Saidas[Conta Financeira],X!$E$3,Saidas[Centro de Custos],X!$E$4)</f>
        <v>0</v>
      </c>
      <c r="M17" s="212">
        <f>SUMIFS(Saidas[Valores],Saidas[Data do Pagamento],"&gt;="&amp;M$6,Saidas[Data do Pagamento],"&lt;"&amp;EDATE(M$6,1),Saidas[Categoria],$B17,Saidas[Status],X!$E$2,Saidas[Conta Financeira],X!$E$3,Saidas[Centro de Custos],X!$E$4)</f>
        <v>4270</v>
      </c>
      <c r="N17" s="212">
        <f>SUMIFS(Saidas[Valores],Saidas[Data do Pagamento],"&gt;="&amp;N$6,Saidas[Data do Pagamento],"&lt;"&amp;EDATE(N$6,1),Saidas[Categoria],$B17,Saidas[Status],X!$E$2,Saidas[Conta Financeira],X!$E$3,Saidas[Centro de Custos],X!$E$4)</f>
        <v>0</v>
      </c>
      <c r="O17" s="272">
        <f t="shared" si="3"/>
        <v>4270</v>
      </c>
      <c r="P17" s="9"/>
    </row>
    <row r="18">
      <c r="A18" s="9"/>
      <c r="B18" s="209" t="str">
        <f>X!V9</f>
        <v>Despesa com Pessoal</v>
      </c>
      <c r="C18" s="212">
        <f>SUMIFS(Saidas[Valores],Saidas[Data do Pagamento],"&gt;="&amp;C$6,Saidas[Data do Pagamento],"&lt;"&amp;EDATE(C$6,1),Saidas[Categoria],$B18,Saidas[Status],X!$E$2,Saidas[Conta Financeira],X!$E$3,Saidas[Centro de Custos],X!$E$4)</f>
        <v>0</v>
      </c>
      <c r="D18" s="212">
        <f>SUMIFS(Saidas[Valores],Saidas[Data do Pagamento],"&gt;="&amp;D$6,Saidas[Data do Pagamento],"&lt;"&amp;EDATE(D$6,1),Saidas[Categoria],$B18,Saidas[Status],X!$E$2,Saidas[Conta Financeira],X!$E$3,Saidas[Centro de Custos],X!$E$4)</f>
        <v>0</v>
      </c>
      <c r="E18" s="212">
        <f>SUMIFS(Saidas[Valores],Saidas[Data do Pagamento],"&gt;="&amp;E$6,Saidas[Data do Pagamento],"&lt;"&amp;EDATE(E$6,1),Saidas[Categoria],$B18,Saidas[Status],X!$E$2,Saidas[Conta Financeira],X!$E$3,Saidas[Centro de Custos],X!$E$4)</f>
        <v>0</v>
      </c>
      <c r="F18" s="212">
        <f>SUMIFS(Saidas[Valores],Saidas[Data do Pagamento],"&gt;="&amp;F$6,Saidas[Data do Pagamento],"&lt;"&amp;EDATE(F$6,1),Saidas[Categoria],$B18,Saidas[Status],X!$E$2,Saidas[Conta Financeira],X!$E$3,Saidas[Centro de Custos],X!$E$4)</f>
        <v>0</v>
      </c>
      <c r="G18" s="212">
        <f>SUMIFS(Saidas[Valores],Saidas[Data do Pagamento],"&gt;="&amp;G$6,Saidas[Data do Pagamento],"&lt;"&amp;EDATE(G$6,1),Saidas[Categoria],$B18,Saidas[Status],X!$E$2,Saidas[Conta Financeira],X!$E$3,Saidas[Centro de Custos],X!$E$4)</f>
        <v>0</v>
      </c>
      <c r="H18" s="212">
        <f>SUMIFS(Saidas[Valores],Saidas[Data do Pagamento],"&gt;="&amp;H$6,Saidas[Data do Pagamento],"&lt;"&amp;EDATE(H$6,1),Saidas[Categoria],$B18,Saidas[Status],X!$E$2,Saidas[Conta Financeira],X!$E$3,Saidas[Centro de Custos],X!$E$4)</f>
        <v>0</v>
      </c>
      <c r="I18" s="212">
        <f>SUMIFS(Saidas[Valores],Saidas[Data do Pagamento],"&gt;="&amp;I$6,Saidas[Data do Pagamento],"&lt;"&amp;EDATE(I$6,1),Saidas[Categoria],$B18,Saidas[Status],X!$E$2,Saidas[Conta Financeira],X!$E$3,Saidas[Centro de Custos],X!$E$4)</f>
        <v>0</v>
      </c>
      <c r="J18" s="212">
        <f>SUMIFS(Saidas[Valores],Saidas[Data do Pagamento],"&gt;="&amp;J$6,Saidas[Data do Pagamento],"&lt;"&amp;EDATE(J$6,1),Saidas[Categoria],$B18,Saidas[Status],X!$E$2,Saidas[Conta Financeira],X!$E$3,Saidas[Centro de Custos],X!$E$4)</f>
        <v>0</v>
      </c>
      <c r="K18" s="212">
        <f>SUMIFS(Saidas[Valores],Saidas[Data do Pagamento],"&gt;="&amp;K$6,Saidas[Data do Pagamento],"&lt;"&amp;EDATE(K$6,1),Saidas[Categoria],$B18,Saidas[Status],X!$E$2,Saidas[Conta Financeira],X!$E$3,Saidas[Centro de Custos],X!$E$4)</f>
        <v>0</v>
      </c>
      <c r="L18" s="212">
        <f>SUMIFS(Saidas[Valores],Saidas[Data do Pagamento],"&gt;="&amp;L$6,Saidas[Data do Pagamento],"&lt;"&amp;EDATE(L$6,1),Saidas[Categoria],$B18,Saidas[Status],X!$E$2,Saidas[Conta Financeira],X!$E$3,Saidas[Centro de Custos],X!$E$4)</f>
        <v>0</v>
      </c>
      <c r="M18" s="212">
        <f>SUMIFS(Saidas[Valores],Saidas[Data do Pagamento],"&gt;="&amp;M$6,Saidas[Data do Pagamento],"&lt;"&amp;EDATE(M$6,1),Saidas[Categoria],$B18,Saidas[Status],X!$E$2,Saidas[Conta Financeira],X!$E$3,Saidas[Centro de Custos],X!$E$4)</f>
        <v>7920</v>
      </c>
      <c r="N18" s="212">
        <f>SUMIFS(Saidas[Valores],Saidas[Data do Pagamento],"&gt;="&amp;N$6,Saidas[Data do Pagamento],"&lt;"&amp;EDATE(N$6,1),Saidas[Categoria],$B18,Saidas[Status],X!$E$2,Saidas[Conta Financeira],X!$E$3,Saidas[Centro de Custos],X!$E$4)</f>
        <v>0</v>
      </c>
      <c r="O18" s="272">
        <f t="shared" si="3"/>
        <v>7920</v>
      </c>
      <c r="P18" s="9"/>
    </row>
    <row r="19">
      <c r="A19" s="9"/>
      <c r="B19" s="209" t="str">
        <f>X!V11</f>
        <v>Despesa Financeira</v>
      </c>
      <c r="C19" s="212">
        <f>SUMIFS(Saidas[Valores],Saidas[Data do Pagamento],"&gt;="&amp;C$6,Saidas[Data do Pagamento],"&lt;"&amp;EDATE(C$6,1),Saidas[Categoria],$B19,Saidas[Status],X!$E$2,Saidas[Conta Financeira],X!$E$3,Saidas[Centro de Custos],X!$E$4)</f>
        <v>0</v>
      </c>
      <c r="D19" s="212">
        <f>SUMIFS(Saidas[Valores],Saidas[Data do Pagamento],"&gt;="&amp;D$6,Saidas[Data do Pagamento],"&lt;"&amp;EDATE(D$6,1),Saidas[Categoria],$B19,Saidas[Status],X!$E$2,Saidas[Conta Financeira],X!$E$3,Saidas[Centro de Custos],X!$E$4)</f>
        <v>0</v>
      </c>
      <c r="E19" s="212">
        <f>SUMIFS(Saidas[Valores],Saidas[Data do Pagamento],"&gt;="&amp;E$6,Saidas[Data do Pagamento],"&lt;"&amp;EDATE(E$6,1),Saidas[Categoria],$B19,Saidas[Status],X!$E$2,Saidas[Conta Financeira],X!$E$3,Saidas[Centro de Custos],X!$E$4)</f>
        <v>0</v>
      </c>
      <c r="F19" s="212">
        <f>SUMIFS(Saidas[Valores],Saidas[Data do Pagamento],"&gt;="&amp;F$6,Saidas[Data do Pagamento],"&lt;"&amp;EDATE(F$6,1),Saidas[Categoria],$B19,Saidas[Status],X!$E$2,Saidas[Conta Financeira],X!$E$3,Saidas[Centro de Custos],X!$E$4)</f>
        <v>0</v>
      </c>
      <c r="G19" s="212">
        <f>SUMIFS(Saidas[Valores],Saidas[Data do Pagamento],"&gt;="&amp;G$6,Saidas[Data do Pagamento],"&lt;"&amp;EDATE(G$6,1),Saidas[Categoria],$B19,Saidas[Status],X!$E$2,Saidas[Conta Financeira],X!$E$3,Saidas[Centro de Custos],X!$E$4)</f>
        <v>0</v>
      </c>
      <c r="H19" s="212">
        <f>SUMIFS(Saidas[Valores],Saidas[Data do Pagamento],"&gt;="&amp;H$6,Saidas[Data do Pagamento],"&lt;"&amp;EDATE(H$6,1),Saidas[Categoria],$B19,Saidas[Status],X!$E$2,Saidas[Conta Financeira],X!$E$3,Saidas[Centro de Custos],X!$E$4)</f>
        <v>0</v>
      </c>
      <c r="I19" s="212">
        <f>SUMIFS(Saidas[Valores],Saidas[Data do Pagamento],"&gt;="&amp;I$6,Saidas[Data do Pagamento],"&lt;"&amp;EDATE(I$6,1),Saidas[Categoria],$B19,Saidas[Status],X!$E$2,Saidas[Conta Financeira],X!$E$3,Saidas[Centro de Custos],X!$E$4)</f>
        <v>0</v>
      </c>
      <c r="J19" s="212">
        <f>SUMIFS(Saidas[Valores],Saidas[Data do Pagamento],"&gt;="&amp;J$6,Saidas[Data do Pagamento],"&lt;"&amp;EDATE(J$6,1),Saidas[Categoria],$B19,Saidas[Status],X!$E$2,Saidas[Conta Financeira],X!$E$3,Saidas[Centro de Custos],X!$E$4)</f>
        <v>0</v>
      </c>
      <c r="K19" s="212">
        <f>SUMIFS(Saidas[Valores],Saidas[Data do Pagamento],"&gt;="&amp;K$6,Saidas[Data do Pagamento],"&lt;"&amp;EDATE(K$6,1),Saidas[Categoria],$B19,Saidas[Status],X!$E$2,Saidas[Conta Financeira],X!$E$3,Saidas[Centro de Custos],X!$E$4)</f>
        <v>0</v>
      </c>
      <c r="L19" s="212">
        <f>SUMIFS(Saidas[Valores],Saidas[Data do Pagamento],"&gt;="&amp;L$6,Saidas[Data do Pagamento],"&lt;"&amp;EDATE(L$6,1),Saidas[Categoria],$B19,Saidas[Status],X!$E$2,Saidas[Conta Financeira],X!$E$3,Saidas[Centro de Custos],X!$E$4)</f>
        <v>0</v>
      </c>
      <c r="M19" s="212">
        <f>SUMIFS(Saidas[Valores],Saidas[Data do Pagamento],"&gt;="&amp;M$6,Saidas[Data do Pagamento],"&lt;"&amp;EDATE(M$6,1),Saidas[Categoria],$B19,Saidas[Status],X!$E$2,Saidas[Conta Financeira],X!$E$3,Saidas[Centro de Custos],X!$E$4)</f>
        <v>0</v>
      </c>
      <c r="N19" s="212">
        <f>SUMIFS(Saidas[Valores],Saidas[Data do Pagamento],"&gt;="&amp;N$6,Saidas[Data do Pagamento],"&lt;"&amp;EDATE(N$6,1),Saidas[Categoria],$B19,Saidas[Status],X!$E$2,Saidas[Conta Financeira],X!$E$3,Saidas[Centro de Custos],X!$E$4)</f>
        <v>0</v>
      </c>
      <c r="O19" s="272">
        <f t="shared" si="3"/>
        <v>0</v>
      </c>
      <c r="P19" s="9"/>
    </row>
    <row r="20">
      <c r="A20" s="9"/>
      <c r="B20" s="209" t="str">
        <f>X!V12</f>
        <v>Despesas não operacionais</v>
      </c>
      <c r="C20" s="212">
        <f>SUMIFS(Saidas[Valores],Saidas[Data do Pagamento],"&gt;="&amp;C$6,Saidas[Data do Pagamento],"&lt;"&amp;EDATE(C$6,1),Saidas[Categoria],$B20,Saidas[Status],X!$E$2,Saidas[Conta Financeira],X!$E$3,Saidas[Centro de Custos],X!$E$4)</f>
        <v>0</v>
      </c>
      <c r="D20" s="212">
        <f>SUMIFS(Saidas[Valores],Saidas[Data do Pagamento],"&gt;="&amp;D$6,Saidas[Data do Pagamento],"&lt;"&amp;EDATE(D$6,1),Saidas[Categoria],$B20,Saidas[Status],X!$E$2,Saidas[Conta Financeira],X!$E$3,Saidas[Centro de Custos],X!$E$4)</f>
        <v>0</v>
      </c>
      <c r="E20" s="212">
        <f>SUMIFS(Saidas[Valores],Saidas[Data do Pagamento],"&gt;="&amp;E$6,Saidas[Data do Pagamento],"&lt;"&amp;EDATE(E$6,1),Saidas[Categoria],$B20,Saidas[Status],X!$E$2,Saidas[Conta Financeira],X!$E$3,Saidas[Centro de Custos],X!$E$4)</f>
        <v>0</v>
      </c>
      <c r="F20" s="212">
        <f>SUMIFS(Saidas[Valores],Saidas[Data do Pagamento],"&gt;="&amp;F$6,Saidas[Data do Pagamento],"&lt;"&amp;EDATE(F$6,1),Saidas[Categoria],$B20,Saidas[Status],X!$E$2,Saidas[Conta Financeira],X!$E$3,Saidas[Centro de Custos],X!$E$4)</f>
        <v>0</v>
      </c>
      <c r="G20" s="212">
        <f>SUMIFS(Saidas[Valores],Saidas[Data do Pagamento],"&gt;="&amp;G$6,Saidas[Data do Pagamento],"&lt;"&amp;EDATE(G$6,1),Saidas[Categoria],$B20,Saidas[Status],X!$E$2,Saidas[Conta Financeira],X!$E$3,Saidas[Centro de Custos],X!$E$4)</f>
        <v>0</v>
      </c>
      <c r="H20" s="212">
        <f>SUMIFS(Saidas[Valores],Saidas[Data do Pagamento],"&gt;="&amp;H$6,Saidas[Data do Pagamento],"&lt;"&amp;EDATE(H$6,1),Saidas[Categoria],$B20,Saidas[Status],X!$E$2,Saidas[Conta Financeira],X!$E$3,Saidas[Centro de Custos],X!$E$4)</f>
        <v>0</v>
      </c>
      <c r="I20" s="212">
        <f>SUMIFS(Saidas[Valores],Saidas[Data do Pagamento],"&gt;="&amp;I$6,Saidas[Data do Pagamento],"&lt;"&amp;EDATE(I$6,1),Saidas[Categoria],$B20,Saidas[Status],X!$E$2,Saidas[Conta Financeira],X!$E$3,Saidas[Centro de Custos],X!$E$4)</f>
        <v>0</v>
      </c>
      <c r="J20" s="212">
        <f>SUMIFS(Saidas[Valores],Saidas[Data do Pagamento],"&gt;="&amp;J$6,Saidas[Data do Pagamento],"&lt;"&amp;EDATE(J$6,1),Saidas[Categoria],$B20,Saidas[Status],X!$E$2,Saidas[Conta Financeira],X!$E$3,Saidas[Centro de Custos],X!$E$4)</f>
        <v>0</v>
      </c>
      <c r="K20" s="212">
        <f>SUMIFS(Saidas[Valores],Saidas[Data do Pagamento],"&gt;="&amp;K$6,Saidas[Data do Pagamento],"&lt;"&amp;EDATE(K$6,1),Saidas[Categoria],$B20,Saidas[Status],X!$E$2,Saidas[Conta Financeira],X!$E$3,Saidas[Centro de Custos],X!$E$4)</f>
        <v>0</v>
      </c>
      <c r="L20" s="212">
        <f>SUMIFS(Saidas[Valores],Saidas[Data do Pagamento],"&gt;="&amp;L$6,Saidas[Data do Pagamento],"&lt;"&amp;EDATE(L$6,1),Saidas[Categoria],$B20,Saidas[Status],X!$E$2,Saidas[Conta Financeira],X!$E$3,Saidas[Centro de Custos],X!$E$4)</f>
        <v>0</v>
      </c>
      <c r="M20" s="212">
        <f>SUMIFS(Saidas[Valores],Saidas[Data do Pagamento],"&gt;="&amp;M$6,Saidas[Data do Pagamento],"&lt;"&amp;EDATE(M$6,1),Saidas[Categoria],$B20,Saidas[Status],X!$E$2,Saidas[Conta Financeira],X!$E$3,Saidas[Centro de Custos],X!$E$4)</f>
        <v>35000</v>
      </c>
      <c r="N20" s="212">
        <f>SUMIFS(Saidas[Valores],Saidas[Data do Pagamento],"&gt;="&amp;N$6,Saidas[Data do Pagamento],"&lt;"&amp;EDATE(N$6,1),Saidas[Categoria],$B20,Saidas[Status],X!$E$2,Saidas[Conta Financeira],X!$E$3,Saidas[Centro de Custos],X!$E$4)</f>
        <v>0</v>
      </c>
      <c r="O20" s="272">
        <f t="shared" si="3"/>
        <v>35000</v>
      </c>
      <c r="P20" s="9"/>
    </row>
    <row r="21">
      <c r="A21" s="9"/>
      <c r="B21" s="209" t="str">
        <f>X!V13</f>
        <v>Impostos</v>
      </c>
      <c r="C21" s="212">
        <f>SUMIFS(Saidas[Valores],Saidas[Data do Pagamento],"&gt;="&amp;C$6,Saidas[Data do Pagamento],"&lt;"&amp;EDATE(C$6,1),Saidas[Categoria],$B21,Saidas[Status],X!$E$2,Saidas[Conta Financeira],X!$E$3,Saidas[Centro de Custos],X!$E$4)</f>
        <v>0</v>
      </c>
      <c r="D21" s="212">
        <f>SUMIFS(Saidas[Valores],Saidas[Data do Pagamento],"&gt;="&amp;D$6,Saidas[Data do Pagamento],"&lt;"&amp;EDATE(D$6,1),Saidas[Categoria],$B21,Saidas[Status],X!$E$2,Saidas[Conta Financeira],X!$E$3,Saidas[Centro de Custos],X!$E$4)</f>
        <v>0</v>
      </c>
      <c r="E21" s="212">
        <f>SUMIFS(Saidas[Valores],Saidas[Data do Pagamento],"&gt;="&amp;E$6,Saidas[Data do Pagamento],"&lt;"&amp;EDATE(E$6,1),Saidas[Categoria],$B21,Saidas[Status],X!$E$2,Saidas[Conta Financeira],X!$E$3,Saidas[Centro de Custos],X!$E$4)</f>
        <v>0</v>
      </c>
      <c r="F21" s="212">
        <f>SUMIFS(Saidas[Valores],Saidas[Data do Pagamento],"&gt;="&amp;F$6,Saidas[Data do Pagamento],"&lt;"&amp;EDATE(F$6,1),Saidas[Categoria],$B21,Saidas[Status],X!$E$2,Saidas[Conta Financeira],X!$E$3,Saidas[Centro de Custos],X!$E$4)</f>
        <v>0</v>
      </c>
      <c r="G21" s="212">
        <f>SUMIFS(Saidas[Valores],Saidas[Data do Pagamento],"&gt;="&amp;G$6,Saidas[Data do Pagamento],"&lt;"&amp;EDATE(G$6,1),Saidas[Categoria],$B21,Saidas[Status],X!$E$2,Saidas[Conta Financeira],X!$E$3,Saidas[Centro de Custos],X!$E$4)</f>
        <v>0</v>
      </c>
      <c r="H21" s="212">
        <f>SUMIFS(Saidas[Valores],Saidas[Data do Pagamento],"&gt;="&amp;H$6,Saidas[Data do Pagamento],"&lt;"&amp;EDATE(H$6,1),Saidas[Categoria],$B21,Saidas[Status],X!$E$2,Saidas[Conta Financeira],X!$E$3,Saidas[Centro de Custos],X!$E$4)</f>
        <v>0</v>
      </c>
      <c r="I21" s="212">
        <f>SUMIFS(Saidas[Valores],Saidas[Data do Pagamento],"&gt;="&amp;I$6,Saidas[Data do Pagamento],"&lt;"&amp;EDATE(I$6,1),Saidas[Categoria],$B21,Saidas[Status],X!$E$2,Saidas[Conta Financeira],X!$E$3,Saidas[Centro de Custos],X!$E$4)</f>
        <v>0</v>
      </c>
      <c r="J21" s="212">
        <f>SUMIFS(Saidas[Valores],Saidas[Data do Pagamento],"&gt;="&amp;J$6,Saidas[Data do Pagamento],"&lt;"&amp;EDATE(J$6,1),Saidas[Categoria],$B21,Saidas[Status],X!$E$2,Saidas[Conta Financeira],X!$E$3,Saidas[Centro de Custos],X!$E$4)</f>
        <v>0</v>
      </c>
      <c r="K21" s="212">
        <f>SUMIFS(Saidas[Valores],Saidas[Data do Pagamento],"&gt;="&amp;K$6,Saidas[Data do Pagamento],"&lt;"&amp;EDATE(K$6,1),Saidas[Categoria],$B21,Saidas[Status],X!$E$2,Saidas[Conta Financeira],X!$E$3,Saidas[Centro de Custos],X!$E$4)</f>
        <v>0</v>
      </c>
      <c r="L21" s="212">
        <f>SUMIFS(Saidas[Valores],Saidas[Data do Pagamento],"&gt;="&amp;L$6,Saidas[Data do Pagamento],"&lt;"&amp;EDATE(L$6,1),Saidas[Categoria],$B21,Saidas[Status],X!$E$2,Saidas[Conta Financeira],X!$E$3,Saidas[Centro de Custos],X!$E$4)</f>
        <v>0</v>
      </c>
      <c r="M21" s="212">
        <f>SUMIFS(Saidas[Valores],Saidas[Data do Pagamento],"&gt;="&amp;M$6,Saidas[Data do Pagamento],"&lt;"&amp;EDATE(M$6,1),Saidas[Categoria],$B21,Saidas[Status],X!$E$2,Saidas[Conta Financeira],X!$E$3,Saidas[Centro de Custos],X!$E$4)</f>
        <v>0</v>
      </c>
      <c r="N21" s="212">
        <f>SUMIFS(Saidas[Valores],Saidas[Data do Pagamento],"&gt;="&amp;N$6,Saidas[Data do Pagamento],"&lt;"&amp;EDATE(N$6,1),Saidas[Categoria],$B21,Saidas[Status],X!$E$2,Saidas[Conta Financeira],X!$E$3,Saidas[Centro de Custos],X!$E$4)</f>
        <v>0</v>
      </c>
      <c r="O21" s="272">
        <f t="shared" si="3"/>
        <v>0</v>
      </c>
      <c r="P21" s="9"/>
    </row>
    <row r="22">
      <c r="A22" s="9"/>
      <c r="B22" s="209" t="str">
        <f>X!V14</f>
        <v>Participação e Dividendos</v>
      </c>
      <c r="C22" s="212">
        <f>SUMIFS(Saidas[Valores],Saidas[Data do Pagamento],"&gt;="&amp;C$6,Saidas[Data do Pagamento],"&lt;"&amp;EDATE(C$6,1),Saidas[Categoria],$B22,Saidas[Status],X!$E$2,Saidas[Conta Financeira],X!$E$3,Saidas[Centro de Custos],X!$E$4)</f>
        <v>0</v>
      </c>
      <c r="D22" s="212">
        <f>SUMIFS(Saidas[Valores],Saidas[Data do Pagamento],"&gt;="&amp;D$6,Saidas[Data do Pagamento],"&lt;"&amp;EDATE(D$6,1),Saidas[Categoria],$B22,Saidas[Status],X!$E$2,Saidas[Conta Financeira],X!$E$3,Saidas[Centro de Custos],X!$E$4)</f>
        <v>0</v>
      </c>
      <c r="E22" s="212">
        <f>SUMIFS(Saidas[Valores],Saidas[Data do Pagamento],"&gt;="&amp;E$6,Saidas[Data do Pagamento],"&lt;"&amp;EDATE(E$6,1),Saidas[Categoria],$B22,Saidas[Status],X!$E$2,Saidas[Conta Financeira],X!$E$3,Saidas[Centro de Custos],X!$E$4)</f>
        <v>0</v>
      </c>
      <c r="F22" s="212">
        <f>SUMIFS(Saidas[Valores],Saidas[Data do Pagamento],"&gt;="&amp;F$6,Saidas[Data do Pagamento],"&lt;"&amp;EDATE(F$6,1),Saidas[Categoria],$B22,Saidas[Status],X!$E$2,Saidas[Conta Financeira],X!$E$3,Saidas[Centro de Custos],X!$E$4)</f>
        <v>0</v>
      </c>
      <c r="G22" s="212">
        <f>SUMIFS(Saidas[Valores],Saidas[Data do Pagamento],"&gt;="&amp;G$6,Saidas[Data do Pagamento],"&lt;"&amp;EDATE(G$6,1),Saidas[Categoria],$B22,Saidas[Status],X!$E$2,Saidas[Conta Financeira],X!$E$3,Saidas[Centro de Custos],X!$E$4)</f>
        <v>0</v>
      </c>
      <c r="H22" s="212">
        <f>SUMIFS(Saidas[Valores],Saidas[Data do Pagamento],"&gt;="&amp;H$6,Saidas[Data do Pagamento],"&lt;"&amp;EDATE(H$6,1),Saidas[Categoria],$B22,Saidas[Status],X!$E$2,Saidas[Conta Financeira],X!$E$3,Saidas[Centro de Custos],X!$E$4)</f>
        <v>0</v>
      </c>
      <c r="I22" s="212">
        <f>SUMIFS(Saidas[Valores],Saidas[Data do Pagamento],"&gt;="&amp;I$6,Saidas[Data do Pagamento],"&lt;"&amp;EDATE(I$6,1),Saidas[Categoria],$B22,Saidas[Status],X!$E$2,Saidas[Conta Financeira],X!$E$3,Saidas[Centro de Custos],X!$E$4)</f>
        <v>0</v>
      </c>
      <c r="J22" s="212">
        <f>SUMIFS(Saidas[Valores],Saidas[Data do Pagamento],"&gt;="&amp;J$6,Saidas[Data do Pagamento],"&lt;"&amp;EDATE(J$6,1),Saidas[Categoria],$B22,Saidas[Status],X!$E$2,Saidas[Conta Financeira],X!$E$3,Saidas[Centro de Custos],X!$E$4)</f>
        <v>0</v>
      </c>
      <c r="K22" s="212">
        <f>SUMIFS(Saidas[Valores],Saidas[Data do Pagamento],"&gt;="&amp;K$6,Saidas[Data do Pagamento],"&lt;"&amp;EDATE(K$6,1),Saidas[Categoria],$B22,Saidas[Status],X!$E$2,Saidas[Conta Financeira],X!$E$3,Saidas[Centro de Custos],X!$E$4)</f>
        <v>0</v>
      </c>
      <c r="L22" s="212">
        <f>SUMIFS(Saidas[Valores],Saidas[Data do Pagamento],"&gt;="&amp;L$6,Saidas[Data do Pagamento],"&lt;"&amp;EDATE(L$6,1),Saidas[Categoria],$B22,Saidas[Status],X!$E$2,Saidas[Conta Financeira],X!$E$3,Saidas[Centro de Custos],X!$E$4)</f>
        <v>0</v>
      </c>
      <c r="M22" s="212">
        <f>SUMIFS(Saidas[Valores],Saidas[Data do Pagamento],"&gt;="&amp;M$6,Saidas[Data do Pagamento],"&lt;"&amp;EDATE(M$6,1),Saidas[Categoria],$B22,Saidas[Status],X!$E$2,Saidas[Conta Financeira],X!$E$3,Saidas[Centro de Custos],X!$E$4)</f>
        <v>0</v>
      </c>
      <c r="N22" s="212">
        <f>SUMIFS(Saidas[Valores],Saidas[Data do Pagamento],"&gt;="&amp;N$6,Saidas[Data do Pagamento],"&lt;"&amp;EDATE(N$6,1),Saidas[Categoria],$B22,Saidas[Status],X!$E$2,Saidas[Conta Financeira],X!$E$3,Saidas[Centro de Custos],X!$E$4)</f>
        <v>0</v>
      </c>
      <c r="O22" s="272">
        <f t="shared" si="3"/>
        <v>0</v>
      </c>
      <c r="P22" s="9"/>
    </row>
    <row r="23">
      <c r="A23" s="9"/>
      <c r="B23" s="209" t="str">
        <f>X!V15</f>
        <v/>
      </c>
      <c r="C23" s="212">
        <f>SUMIFS(Saidas[Valores],Saidas[Data do Pagamento],"&gt;="&amp;C$6,Saidas[Data do Pagamento],"&lt;"&amp;EDATE(C$6,1),Saidas[Categoria],$B23,Saidas[Status],X!$E$2,Saidas[Conta Financeira],X!$E$3,Saidas[Centro de Custos],X!$E$4)</f>
        <v>0</v>
      </c>
      <c r="D23" s="212">
        <f>SUMIFS(Saidas[Valores],Saidas[Data do Pagamento],"&gt;="&amp;D$6,Saidas[Data do Pagamento],"&lt;"&amp;EDATE(D$6,1),Saidas[Categoria],$B23,Saidas[Status],X!$E$2,Saidas[Conta Financeira],X!$E$3,Saidas[Centro de Custos],X!$E$4)</f>
        <v>0</v>
      </c>
      <c r="E23" s="212">
        <f>SUMIFS(Saidas[Valores],Saidas[Data do Pagamento],"&gt;="&amp;E$6,Saidas[Data do Pagamento],"&lt;"&amp;EDATE(E$6,1),Saidas[Categoria],$B23,Saidas[Status],X!$E$2,Saidas[Conta Financeira],X!$E$3,Saidas[Centro de Custos],X!$E$4)</f>
        <v>0</v>
      </c>
      <c r="F23" s="212">
        <f>SUMIFS(Saidas[Valores],Saidas[Data do Pagamento],"&gt;="&amp;F$6,Saidas[Data do Pagamento],"&lt;"&amp;EDATE(F$6,1),Saidas[Categoria],$B23,Saidas[Status],X!$E$2,Saidas[Conta Financeira],X!$E$3,Saidas[Centro de Custos],X!$E$4)</f>
        <v>0</v>
      </c>
      <c r="G23" s="212">
        <f>SUMIFS(Saidas[Valores],Saidas[Data do Pagamento],"&gt;="&amp;G$6,Saidas[Data do Pagamento],"&lt;"&amp;EDATE(G$6,1),Saidas[Categoria],$B23,Saidas[Status],X!$E$2,Saidas[Conta Financeira],X!$E$3,Saidas[Centro de Custos],X!$E$4)</f>
        <v>0</v>
      </c>
      <c r="H23" s="212">
        <f>SUMIFS(Saidas[Valores],Saidas[Data do Pagamento],"&gt;="&amp;H$6,Saidas[Data do Pagamento],"&lt;"&amp;EDATE(H$6,1),Saidas[Categoria],$B23,Saidas[Status],X!$E$2,Saidas[Conta Financeira],X!$E$3,Saidas[Centro de Custos],X!$E$4)</f>
        <v>0</v>
      </c>
      <c r="I23" s="212">
        <f>SUMIFS(Saidas[Valores],Saidas[Data do Pagamento],"&gt;="&amp;I$6,Saidas[Data do Pagamento],"&lt;"&amp;EDATE(I$6,1),Saidas[Categoria],$B23,Saidas[Status],X!$E$2,Saidas[Conta Financeira],X!$E$3,Saidas[Centro de Custos],X!$E$4)</f>
        <v>0</v>
      </c>
      <c r="J23" s="212">
        <f>SUMIFS(Saidas[Valores],Saidas[Data do Pagamento],"&gt;="&amp;J$6,Saidas[Data do Pagamento],"&lt;"&amp;EDATE(J$6,1),Saidas[Categoria],$B23,Saidas[Status],X!$E$2,Saidas[Conta Financeira],X!$E$3,Saidas[Centro de Custos],X!$E$4)</f>
        <v>0</v>
      </c>
      <c r="K23" s="212">
        <f>SUMIFS(Saidas[Valores],Saidas[Data do Pagamento],"&gt;="&amp;K$6,Saidas[Data do Pagamento],"&lt;"&amp;EDATE(K$6,1),Saidas[Categoria],$B23,Saidas[Status],X!$E$2,Saidas[Conta Financeira],X!$E$3,Saidas[Centro de Custos],X!$E$4)</f>
        <v>0</v>
      </c>
      <c r="L23" s="212">
        <f>SUMIFS(Saidas[Valores],Saidas[Data do Pagamento],"&gt;="&amp;L$6,Saidas[Data do Pagamento],"&lt;"&amp;EDATE(L$6,1),Saidas[Categoria],$B23,Saidas[Status],X!$E$2,Saidas[Conta Financeira],X!$E$3,Saidas[Centro de Custos],X!$E$4)</f>
        <v>0</v>
      </c>
      <c r="M23" s="212">
        <f>SUMIFS(Saidas[Valores],Saidas[Data do Pagamento],"&gt;="&amp;M$6,Saidas[Data do Pagamento],"&lt;"&amp;EDATE(M$6,1),Saidas[Categoria],$B23,Saidas[Status],X!$E$2,Saidas[Conta Financeira],X!$E$3,Saidas[Centro de Custos],X!$E$4)</f>
        <v>0</v>
      </c>
      <c r="N23" s="212">
        <f>SUMIFS(Saidas[Valores],Saidas[Data do Pagamento],"&gt;="&amp;N$6,Saidas[Data do Pagamento],"&lt;"&amp;EDATE(N$6,1),Saidas[Categoria],$B23,Saidas[Status],X!$E$2,Saidas[Conta Financeira],X!$E$3,Saidas[Centro de Custos],X!$E$4)</f>
        <v>0</v>
      </c>
      <c r="O23" s="272">
        <f t="shared" si="3"/>
        <v>0</v>
      </c>
      <c r="P23" s="9"/>
    </row>
    <row r="24">
      <c r="A24" s="9"/>
      <c r="B24" s="209" t="str">
        <f>X!V16</f>
        <v/>
      </c>
      <c r="C24" s="212">
        <f>SUMIFS(Saidas[Valores],Saidas[Data do Pagamento],"&gt;="&amp;C$6,Saidas[Data do Pagamento],"&lt;"&amp;EDATE(C$6,1),Saidas[Categoria],$B24,Saidas[Status],X!$E$2,Saidas[Conta Financeira],X!$E$3,Saidas[Centro de Custos],X!$E$4)</f>
        <v>0</v>
      </c>
      <c r="D24" s="212">
        <f>SUMIFS(Saidas[Valores],Saidas[Data do Pagamento],"&gt;="&amp;D$6,Saidas[Data do Pagamento],"&lt;"&amp;EDATE(D$6,1),Saidas[Categoria],$B24,Saidas[Status],X!$E$2,Saidas[Conta Financeira],X!$E$3,Saidas[Centro de Custos],X!$E$4)</f>
        <v>0</v>
      </c>
      <c r="E24" s="212">
        <f>SUMIFS(Saidas[Valores],Saidas[Data do Pagamento],"&gt;="&amp;E$6,Saidas[Data do Pagamento],"&lt;"&amp;EDATE(E$6,1),Saidas[Categoria],$B24,Saidas[Status],X!$E$2,Saidas[Conta Financeira],X!$E$3,Saidas[Centro de Custos],X!$E$4)</f>
        <v>0</v>
      </c>
      <c r="F24" s="212">
        <f>SUMIFS(Saidas[Valores],Saidas[Data do Pagamento],"&gt;="&amp;F$6,Saidas[Data do Pagamento],"&lt;"&amp;EDATE(F$6,1),Saidas[Categoria],$B24,Saidas[Status],X!$E$2,Saidas[Conta Financeira],X!$E$3,Saidas[Centro de Custos],X!$E$4)</f>
        <v>0</v>
      </c>
      <c r="G24" s="212">
        <f>SUMIFS(Saidas[Valores],Saidas[Data do Pagamento],"&gt;="&amp;G$6,Saidas[Data do Pagamento],"&lt;"&amp;EDATE(G$6,1),Saidas[Categoria],$B24,Saidas[Status],X!$E$2,Saidas[Conta Financeira],X!$E$3,Saidas[Centro de Custos],X!$E$4)</f>
        <v>0</v>
      </c>
      <c r="H24" s="212">
        <f>SUMIFS(Saidas[Valores],Saidas[Data do Pagamento],"&gt;="&amp;H$6,Saidas[Data do Pagamento],"&lt;"&amp;EDATE(H$6,1),Saidas[Categoria],$B24,Saidas[Status],X!$E$2,Saidas[Conta Financeira],X!$E$3,Saidas[Centro de Custos],X!$E$4)</f>
        <v>0</v>
      </c>
      <c r="I24" s="212">
        <f>SUMIFS(Saidas[Valores],Saidas[Data do Pagamento],"&gt;="&amp;I$6,Saidas[Data do Pagamento],"&lt;"&amp;EDATE(I$6,1),Saidas[Categoria],$B24,Saidas[Status],X!$E$2,Saidas[Conta Financeira],X!$E$3,Saidas[Centro de Custos],X!$E$4)</f>
        <v>0</v>
      </c>
      <c r="J24" s="212">
        <f>SUMIFS(Saidas[Valores],Saidas[Data do Pagamento],"&gt;="&amp;J$6,Saidas[Data do Pagamento],"&lt;"&amp;EDATE(J$6,1),Saidas[Categoria],$B24,Saidas[Status],X!$E$2,Saidas[Conta Financeira],X!$E$3,Saidas[Centro de Custos],X!$E$4)</f>
        <v>0</v>
      </c>
      <c r="K24" s="212">
        <f>SUMIFS(Saidas[Valores],Saidas[Data do Pagamento],"&gt;="&amp;K$6,Saidas[Data do Pagamento],"&lt;"&amp;EDATE(K$6,1),Saidas[Categoria],$B24,Saidas[Status],X!$E$2,Saidas[Conta Financeira],X!$E$3,Saidas[Centro de Custos],X!$E$4)</f>
        <v>0</v>
      </c>
      <c r="L24" s="212">
        <f>SUMIFS(Saidas[Valores],Saidas[Data do Pagamento],"&gt;="&amp;L$6,Saidas[Data do Pagamento],"&lt;"&amp;EDATE(L$6,1),Saidas[Categoria],$B24,Saidas[Status],X!$E$2,Saidas[Conta Financeira],X!$E$3,Saidas[Centro de Custos],X!$E$4)</f>
        <v>0</v>
      </c>
      <c r="M24" s="212">
        <f>SUMIFS(Saidas[Valores],Saidas[Data do Pagamento],"&gt;="&amp;M$6,Saidas[Data do Pagamento],"&lt;"&amp;EDATE(M$6,1),Saidas[Categoria],$B24,Saidas[Status],X!$E$2,Saidas[Conta Financeira],X!$E$3,Saidas[Centro de Custos],X!$E$4)</f>
        <v>0</v>
      </c>
      <c r="N24" s="212">
        <f>SUMIFS(Saidas[Valores],Saidas[Data do Pagamento],"&gt;="&amp;N$6,Saidas[Data do Pagamento],"&lt;"&amp;EDATE(N$6,1),Saidas[Categoria],$B24,Saidas[Status],X!$E$2,Saidas[Conta Financeira],X!$E$3,Saidas[Centro de Custos],X!$E$4)</f>
        <v>0</v>
      </c>
      <c r="O24" s="272">
        <f t="shared" si="3"/>
        <v>0</v>
      </c>
      <c r="P24" s="9"/>
    </row>
    <row r="25">
      <c r="A25" s="9"/>
      <c r="B25" s="209"/>
      <c r="C25" s="212"/>
      <c r="D25" s="212"/>
      <c r="E25" s="212"/>
      <c r="F25" s="212"/>
      <c r="G25" s="212"/>
      <c r="H25" s="212"/>
      <c r="I25" s="212"/>
      <c r="J25" s="212"/>
      <c r="K25" s="212"/>
      <c r="L25" s="212"/>
      <c r="M25" s="212"/>
      <c r="N25" s="212"/>
      <c r="O25" s="272"/>
      <c r="P25" s="109"/>
    </row>
    <row r="26">
      <c r="A26" s="9"/>
      <c r="B26" s="307" t="s">
        <v>271</v>
      </c>
      <c r="C26" s="308">
        <f t="shared" ref="C26:O26" si="5">C9-C14</f>
        <v>0</v>
      </c>
      <c r="D26" s="308">
        <f t="shared" si="5"/>
        <v>0</v>
      </c>
      <c r="E26" s="308">
        <f t="shared" si="5"/>
        <v>0</v>
      </c>
      <c r="F26" s="308">
        <f t="shared" si="5"/>
        <v>0</v>
      </c>
      <c r="G26" s="308">
        <f t="shared" si="5"/>
        <v>0</v>
      </c>
      <c r="H26" s="308">
        <f t="shared" si="5"/>
        <v>0</v>
      </c>
      <c r="I26" s="308">
        <f t="shared" si="5"/>
        <v>0</v>
      </c>
      <c r="J26" s="308">
        <f t="shared" si="5"/>
        <v>0</v>
      </c>
      <c r="K26" s="308">
        <f t="shared" si="5"/>
        <v>0</v>
      </c>
      <c r="L26" s="308">
        <f t="shared" si="5"/>
        <v>0</v>
      </c>
      <c r="M26" s="308">
        <f t="shared" si="5"/>
        <v>-42413</v>
      </c>
      <c r="N26" s="308">
        <f t="shared" si="5"/>
        <v>3700</v>
      </c>
      <c r="O26" s="309">
        <f t="shared" si="5"/>
        <v>-38713</v>
      </c>
      <c r="P26" s="109"/>
    </row>
    <row r="27" ht="7.5" customHeight="1">
      <c r="A27" s="9"/>
      <c r="B27" s="109"/>
      <c r="C27" s="210"/>
      <c r="D27" s="210"/>
      <c r="E27" s="210"/>
      <c r="F27" s="210"/>
      <c r="G27" s="210"/>
      <c r="H27" s="210"/>
      <c r="I27" s="210"/>
      <c r="J27" s="210"/>
      <c r="K27" s="210"/>
      <c r="L27" s="210"/>
      <c r="M27" s="210"/>
      <c r="N27" s="210"/>
      <c r="O27" s="310"/>
      <c r="P27" s="109"/>
    </row>
    <row r="28">
      <c r="A28" s="9"/>
      <c r="B28" s="311" t="s">
        <v>272</v>
      </c>
      <c r="C28" s="312">
        <f>SUMIFS(Transferência_Interna[Valor],Transferência_Interna[Conta de Destino],X!$E$3,Transferência_Interna[Data],"&gt;="&amp;C$6,Transferência_Interna[Data],"&lt;"&amp;EDATE(C$6,1))-SUMIFS(Transferência_Interna[Valor],Transferência_Interna[Conta de Origem],X!$E$3,Transferência_Interna[Data],"&gt;="&amp;C$6,Transferência_Interna[Data],"&lt;"&amp;EDATE(C$6,1))</f>
        <v>0</v>
      </c>
      <c r="D28" s="312">
        <f>SUMIFS(Transferência_Interna[Valor],Transferência_Interna[Conta de Destino],X!$E$3,Transferência_Interna[Data],"&gt;="&amp;D$6,Transferência_Interna[Data],"&lt;"&amp;EDATE(D$6,1))-SUMIFS(Transferência_Interna[Valor],Transferência_Interna[Conta de Origem],X!$E$3,Transferência_Interna[Data],"&gt;="&amp;D$6,Transferência_Interna[Data],"&lt;"&amp;EDATE(D$6,1))</f>
        <v>0</v>
      </c>
      <c r="E28" s="312">
        <f>SUMIFS(Transferência_Interna[Valor],Transferência_Interna[Conta de Destino],X!$E$3,Transferência_Interna[Data],"&gt;="&amp;E$6,Transferência_Interna[Data],"&lt;"&amp;EDATE(E$6,1))-SUMIFS(Transferência_Interna[Valor],Transferência_Interna[Conta de Origem],X!$E$3,Transferência_Interna[Data],"&gt;="&amp;E$6,Transferência_Interna[Data],"&lt;"&amp;EDATE(E$6,1))</f>
        <v>0</v>
      </c>
      <c r="F28" s="312">
        <f>SUMIFS(Transferência_Interna[Valor],Transferência_Interna[Conta de Destino],X!$E$3,Transferência_Interna[Data],"&gt;="&amp;F$6,Transferência_Interna[Data],"&lt;"&amp;EDATE(F$6,1))-SUMIFS(Transferência_Interna[Valor],Transferência_Interna[Conta de Origem],X!$E$3,Transferência_Interna[Data],"&gt;="&amp;F$6,Transferência_Interna[Data],"&lt;"&amp;EDATE(F$6,1))</f>
        <v>0</v>
      </c>
      <c r="G28" s="312">
        <f>SUMIFS(Transferência_Interna[Valor],Transferência_Interna[Conta de Destino],X!$E$3,Transferência_Interna[Data],"&gt;="&amp;G$6,Transferência_Interna[Data],"&lt;"&amp;EDATE(G$6,1))-SUMIFS(Transferência_Interna[Valor],Transferência_Interna[Conta de Origem],X!$E$3,Transferência_Interna[Data],"&gt;="&amp;G$6,Transferência_Interna[Data],"&lt;"&amp;EDATE(G$6,1))</f>
        <v>0</v>
      </c>
      <c r="H28" s="312">
        <f>SUMIFS(Transferência_Interna[Valor],Transferência_Interna[Conta de Destino],X!$E$3,Transferência_Interna[Data],"&gt;="&amp;H$6,Transferência_Interna[Data],"&lt;"&amp;EDATE(H$6,1))-SUMIFS(Transferência_Interna[Valor],Transferência_Interna[Conta de Origem],X!$E$3,Transferência_Interna[Data],"&gt;="&amp;H$6,Transferência_Interna[Data],"&lt;"&amp;EDATE(H$6,1))</f>
        <v>0</v>
      </c>
      <c r="I28" s="312">
        <f>SUMIFS(Transferência_Interna[Valor],Transferência_Interna[Conta de Destino],X!$E$3,Transferência_Interna[Data],"&gt;="&amp;I$6,Transferência_Interna[Data],"&lt;"&amp;EDATE(I$6,1))-SUMIFS(Transferência_Interna[Valor],Transferência_Interna[Conta de Origem],X!$E$3,Transferência_Interna[Data],"&gt;="&amp;I$6,Transferência_Interna[Data],"&lt;"&amp;EDATE(I$6,1))</f>
        <v>0</v>
      </c>
      <c r="J28" s="312">
        <f>SUMIFS(Transferência_Interna[Valor],Transferência_Interna[Conta de Destino],X!$E$3,Transferência_Interna[Data],"&gt;="&amp;J$6,Transferência_Interna[Data],"&lt;"&amp;EDATE(J$6,1))-SUMIFS(Transferência_Interna[Valor],Transferência_Interna[Conta de Origem],X!$E$3,Transferência_Interna[Data],"&gt;="&amp;J$6,Transferência_Interna[Data],"&lt;"&amp;EDATE(J$6,1))</f>
        <v>0</v>
      </c>
      <c r="K28" s="312">
        <f>SUMIFS(Transferência_Interna[Valor],Transferência_Interna[Conta de Destino],X!$E$3,Transferência_Interna[Data],"&gt;="&amp;K$6,Transferência_Interna[Data],"&lt;"&amp;EDATE(K$6,1))-SUMIFS(Transferência_Interna[Valor],Transferência_Interna[Conta de Origem],X!$E$3,Transferência_Interna[Data],"&gt;="&amp;K$6,Transferência_Interna[Data],"&lt;"&amp;EDATE(K$6,1))</f>
        <v>0</v>
      </c>
      <c r="L28" s="312">
        <f>SUMIFS(Transferência_Interna[Valor],Transferência_Interna[Conta de Destino],X!$E$3,Transferência_Interna[Data],"&gt;="&amp;L$6,Transferência_Interna[Data],"&lt;"&amp;EDATE(L$6,1))-SUMIFS(Transferência_Interna[Valor],Transferência_Interna[Conta de Origem],X!$E$3,Transferência_Interna[Data],"&gt;="&amp;L$6,Transferência_Interna[Data],"&lt;"&amp;EDATE(L$6,1))</f>
        <v>0</v>
      </c>
      <c r="M28" s="312">
        <f>SUMIFS(Transferência_Interna[Valor],Transferência_Interna[Conta de Destino],X!$E$3,Transferência_Interna[Data],"&gt;="&amp;M$6,Transferência_Interna[Data],"&lt;"&amp;EDATE(M$6,1))-SUMIFS(Transferência_Interna[Valor],Transferência_Interna[Conta de Origem],X!$E$3,Transferência_Interna[Data],"&gt;="&amp;M$6,Transferência_Interna[Data],"&lt;"&amp;EDATE(M$6,1))</f>
        <v>0</v>
      </c>
      <c r="N28" s="312">
        <f>SUMIFS(Transferência_Interna[Valor],Transferência_Interna[Conta de Destino],X!$E$3,Transferência_Interna[Data],"&gt;="&amp;N$6,Transferência_Interna[Data],"&lt;"&amp;EDATE(N$6,1))-SUMIFS(Transferência_Interna[Valor],Transferência_Interna[Conta de Origem],X!$E$3,Transferência_Interna[Data],"&gt;="&amp;N$6,Transferência_Interna[Data],"&lt;"&amp;EDATE(N$6,1))</f>
        <v>0</v>
      </c>
      <c r="O28" s="310"/>
      <c r="P28" s="109"/>
    </row>
    <row r="29" ht="7.5" customHeight="1">
      <c r="A29" s="9"/>
      <c r="B29" s="109"/>
      <c r="C29" s="210"/>
      <c r="D29" s="210"/>
      <c r="E29" s="210"/>
      <c r="F29" s="210"/>
      <c r="G29" s="210"/>
      <c r="H29" s="210"/>
      <c r="I29" s="210"/>
      <c r="J29" s="210"/>
      <c r="K29" s="210"/>
      <c r="L29" s="210"/>
      <c r="M29" s="210"/>
      <c r="N29" s="210"/>
      <c r="O29" s="310"/>
      <c r="P29" s="109"/>
    </row>
    <row r="30">
      <c r="A30" s="9"/>
      <c r="B30" s="317" t="s">
        <v>274</v>
      </c>
      <c r="C30" s="318">
        <f t="shared" ref="C30:N30" si="6">C8+C26+C28</f>
        <v>7740</v>
      </c>
      <c r="D30" s="318">
        <f t="shared" si="6"/>
        <v>7740</v>
      </c>
      <c r="E30" s="318">
        <f t="shared" si="6"/>
        <v>7740</v>
      </c>
      <c r="F30" s="318">
        <f t="shared" si="6"/>
        <v>7740</v>
      </c>
      <c r="G30" s="318">
        <f t="shared" si="6"/>
        <v>7740</v>
      </c>
      <c r="H30" s="318">
        <f t="shared" si="6"/>
        <v>7740</v>
      </c>
      <c r="I30" s="318">
        <f t="shared" si="6"/>
        <v>7740</v>
      </c>
      <c r="J30" s="318">
        <f t="shared" si="6"/>
        <v>7740</v>
      </c>
      <c r="K30" s="318">
        <f t="shared" si="6"/>
        <v>7740</v>
      </c>
      <c r="L30" s="318">
        <f t="shared" si="6"/>
        <v>7740</v>
      </c>
      <c r="M30" s="318">
        <f t="shared" si="6"/>
        <v>-34673</v>
      </c>
      <c r="N30" s="318">
        <f t="shared" si="6"/>
        <v>-30973</v>
      </c>
      <c r="O30" s="319">
        <f>N30</f>
        <v>-30973</v>
      </c>
      <c r="P30" s="109"/>
    </row>
    <row r="31">
      <c r="A31" s="9"/>
      <c r="B31" s="109"/>
      <c r="C31" s="320"/>
      <c r="D31" s="320"/>
      <c r="E31" s="320"/>
      <c r="F31" s="320"/>
      <c r="G31" s="320"/>
      <c r="H31" s="320"/>
      <c r="I31" s="320"/>
      <c r="J31" s="320"/>
      <c r="K31" s="320"/>
      <c r="L31" s="320"/>
      <c r="M31" s="320"/>
      <c r="N31" s="320"/>
      <c r="O31" s="320"/>
      <c r="P31" s="109"/>
    </row>
  </sheetData>
  <mergeCells count="1">
    <mergeCell ref="D2:I2"/>
  </mergeCells>
  <conditionalFormatting sqref="B30:O30">
    <cfRule type="cellIs" dxfId="7" priority="1" operator="greaterThan">
      <formula>0</formula>
    </cfRule>
  </conditionalFormatting>
  <conditionalFormatting sqref="B30:O30">
    <cfRule type="cellIs" dxfId="8" priority="2" operator="lessThan">
      <formula>0</formula>
    </cfRule>
  </conditionalFormatting>
  <dataValidations>
    <dataValidation type="list" allowBlank="1" showErrorMessage="1" sqref="G3">
      <formula1>"Previsto,Realizado,Ambos"</formula1>
    </dataValidation>
    <dataValidation type="list" allowBlank="1" showErrorMessage="1" sqref="L3">
      <formula1>Tcentrocustos</formula1>
    </dataValidation>
    <dataValidation type="list" allowBlank="1" showErrorMessage="1" sqref="I3">
      <formula1>Tbancos</formula1>
    </dataValidation>
    <dataValidation type="list" allowBlank="1" showErrorMessage="1" sqref="E3">
      <formula1>"2022,2023,2024,2025,2026,2027,2028,2029,2030"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88"/>
    <col customWidth="1" min="2" max="2" width="24.75"/>
  </cols>
  <sheetData>
    <row r="1" ht="9.0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>
      <c r="A2" s="9"/>
      <c r="B2" s="106" t="s">
        <v>189</v>
      </c>
      <c r="C2" s="121"/>
      <c r="D2" s="121"/>
      <c r="E2" s="121"/>
      <c r="F2" s="121"/>
      <c r="G2" s="9"/>
      <c r="H2" s="9"/>
      <c r="I2" s="9"/>
      <c r="J2" s="9"/>
      <c r="K2" s="9"/>
      <c r="L2" s="9"/>
      <c r="M2" s="9"/>
      <c r="N2" s="9"/>
      <c r="O2" s="9"/>
      <c r="P2" s="9"/>
    </row>
    <row r="3" ht="8.25" customHeight="1">
      <c r="A3" s="9"/>
      <c r="B3" s="9"/>
      <c r="C3" s="9"/>
      <c r="D3" s="9"/>
      <c r="E3" s="9"/>
      <c r="F3" s="9"/>
      <c r="G3" s="108"/>
      <c r="H3" s="122"/>
      <c r="I3" s="123"/>
      <c r="J3" s="124"/>
      <c r="K3" s="123"/>
      <c r="L3" s="124"/>
      <c r="M3" s="9"/>
      <c r="N3" s="9"/>
      <c r="O3" s="9"/>
      <c r="P3" s="9"/>
    </row>
    <row r="4" ht="19.5" customHeight="1">
      <c r="A4" s="9"/>
      <c r="B4" s="9"/>
      <c r="C4" s="9"/>
      <c r="D4" s="9"/>
      <c r="E4" s="81" t="s">
        <v>190</v>
      </c>
      <c r="N4" s="9"/>
      <c r="O4" s="9"/>
      <c r="P4" s="9"/>
    </row>
    <row r="5">
      <c r="A5" s="9"/>
      <c r="B5" s="9"/>
      <c r="C5" s="9"/>
      <c r="D5" s="9"/>
      <c r="E5" s="75" t="s">
        <v>169</v>
      </c>
      <c r="F5" s="76">
        <v>2025.0</v>
      </c>
      <c r="G5" s="82" t="s">
        <v>185</v>
      </c>
      <c r="H5" s="87" t="s">
        <v>191</v>
      </c>
      <c r="I5" s="82" t="s">
        <v>186</v>
      </c>
      <c r="J5" s="87" t="s">
        <v>173</v>
      </c>
      <c r="K5" s="111"/>
      <c r="L5" s="89" t="s">
        <v>176</v>
      </c>
      <c r="M5" s="111" t="s">
        <v>173</v>
      </c>
      <c r="N5" s="9"/>
      <c r="O5" s="9"/>
      <c r="P5" s="9"/>
    </row>
    <row r="6">
      <c r="A6" s="9"/>
      <c r="B6" s="9"/>
      <c r="C6" s="9"/>
      <c r="D6" s="9"/>
      <c r="E6" s="9" t="s">
        <v>192</v>
      </c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>
      <c r="A7" s="9"/>
      <c r="B7" s="112"/>
      <c r="C7" s="125">
        <f>DATE(F5,1,1)</f>
        <v>45658</v>
      </c>
      <c r="D7" s="125">
        <f t="shared" ref="D7:N7" si="1">EDATE(C7,1)</f>
        <v>45689</v>
      </c>
      <c r="E7" s="125">
        <f t="shared" si="1"/>
        <v>45717</v>
      </c>
      <c r="F7" s="125">
        <f t="shared" si="1"/>
        <v>45748</v>
      </c>
      <c r="G7" s="125">
        <f t="shared" si="1"/>
        <v>45778</v>
      </c>
      <c r="H7" s="125">
        <f t="shared" si="1"/>
        <v>45809</v>
      </c>
      <c r="I7" s="125">
        <f t="shared" si="1"/>
        <v>45839</v>
      </c>
      <c r="J7" s="125">
        <f t="shared" si="1"/>
        <v>45870</v>
      </c>
      <c r="K7" s="125">
        <f t="shared" si="1"/>
        <v>45901</v>
      </c>
      <c r="L7" s="125">
        <f t="shared" si="1"/>
        <v>45931</v>
      </c>
      <c r="M7" s="125">
        <f t="shared" si="1"/>
        <v>45962</v>
      </c>
      <c r="N7" s="125">
        <f t="shared" si="1"/>
        <v>45992</v>
      </c>
      <c r="O7" s="126" t="s">
        <v>193</v>
      </c>
      <c r="P7" s="109"/>
    </row>
    <row r="8" ht="8.25" customHeight="1">
      <c r="A8" s="9"/>
      <c r="B8" s="109"/>
      <c r="C8" s="127"/>
      <c r="D8" s="127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18"/>
      <c r="P8" s="109"/>
    </row>
    <row r="9">
      <c r="A9" s="9"/>
      <c r="B9" s="128" t="s">
        <v>194</v>
      </c>
      <c r="C9" s="129"/>
      <c r="D9" s="129"/>
      <c r="E9" s="129"/>
      <c r="F9" s="129"/>
      <c r="G9" s="129"/>
      <c r="H9" s="129"/>
      <c r="I9" s="129"/>
      <c r="J9" s="129"/>
      <c r="K9" s="129"/>
      <c r="L9" s="129"/>
      <c r="M9" s="129"/>
      <c r="N9" s="129"/>
      <c r="O9" s="130"/>
      <c r="P9" s="9"/>
    </row>
    <row r="10">
      <c r="A10" s="9"/>
      <c r="B10" s="131" t="str">
        <f>X!V2</f>
        <v>Receitas Operacionais</v>
      </c>
      <c r="C10" s="132">
        <f>SUMIFS(Entradas[Valores],Entradas[Data da Competência],"&gt;="&amp;C$7,Entradas[Data da Competência],"&lt;"&amp;EDATE(C$7,1),Entradas[Categoria],$B10,Entradas[Status],X!$E$7,Entradas[Conta Financeira],X!$E$8,Entradas[Centro de Custos],X!$E$9)</f>
        <v>0</v>
      </c>
      <c r="D10" s="132">
        <f>SUMIFS(Entradas[Valores],Entradas[Data da Competência],"&gt;="&amp;D$7,Entradas[Data da Competência],"&lt;"&amp;EDATE(D$7,1),Entradas[Categoria],$B10,Entradas[Status],X!$E$7,Entradas[Conta Financeira],X!$E$8,Entradas[Centro de Custos],X!$E$9)</f>
        <v>0</v>
      </c>
      <c r="E10" s="132">
        <f>SUMIFS(Entradas[Valores],Entradas[Data da Competência],"&gt;="&amp;E$7,Entradas[Data da Competência],"&lt;"&amp;EDATE(E$7,1),Entradas[Categoria],$B10,Entradas[Status],X!$E$7,Entradas[Conta Financeira],X!$E$8,Entradas[Centro de Custos],X!$E$9)</f>
        <v>0</v>
      </c>
      <c r="F10" s="132">
        <f>SUMIFS(Entradas[Valores],Entradas[Data da Competência],"&gt;="&amp;F$7,Entradas[Data da Competência],"&lt;"&amp;EDATE(F$7,1),Entradas[Categoria],$B10,Entradas[Status],X!$E$7,Entradas[Conta Financeira],X!$E$8,Entradas[Centro de Custos],X!$E$9)</f>
        <v>0</v>
      </c>
      <c r="G10" s="132">
        <f>SUMIFS(Entradas[Valores],Entradas[Data da Competência],"&gt;="&amp;G$7,Entradas[Data da Competência],"&lt;"&amp;EDATE(G$7,1),Entradas[Categoria],$B10,Entradas[Status],X!$E$7,Entradas[Conta Financeira],X!$E$8,Entradas[Centro de Custos],X!$E$9)</f>
        <v>0</v>
      </c>
      <c r="H10" s="132">
        <f>SUMIFS(Entradas[Valores],Entradas[Data da Competência],"&gt;="&amp;H$7,Entradas[Data da Competência],"&lt;"&amp;EDATE(H$7,1),Entradas[Categoria],$B10,Entradas[Status],X!$E$7,Entradas[Conta Financeira],X!$E$8,Entradas[Centro de Custos],X!$E$9)</f>
        <v>0</v>
      </c>
      <c r="I10" s="132">
        <f>SUMIFS(Entradas[Valores],Entradas[Data da Competência],"&gt;="&amp;I$7,Entradas[Data da Competência],"&lt;"&amp;EDATE(I$7,1),Entradas[Categoria],$B10,Entradas[Status],X!$E$7,Entradas[Conta Financeira],X!$E$8,Entradas[Centro de Custos],X!$E$9)</f>
        <v>0</v>
      </c>
      <c r="J10" s="132">
        <f>SUMIFS(Entradas[Valores],Entradas[Data da Competência],"&gt;="&amp;J$7,Entradas[Data da Competência],"&lt;"&amp;EDATE(J$7,1),Entradas[Categoria],$B10,Entradas[Status],X!$E$7,Entradas[Conta Financeira],X!$E$8,Entradas[Centro de Custos],X!$E$9)</f>
        <v>0</v>
      </c>
      <c r="K10" s="132">
        <f>SUMIFS(Entradas[Valores],Entradas[Data da Competência],"&gt;="&amp;K$7,Entradas[Data da Competência],"&lt;"&amp;EDATE(K$7,1),Entradas[Categoria],$B10,Entradas[Status],X!$E$7,Entradas[Conta Financeira],X!$E$8,Entradas[Centro de Custos],X!$E$9)</f>
        <v>0</v>
      </c>
      <c r="L10" s="132">
        <f>SUMIFS(Entradas[Valores],Entradas[Data da Competência],"&gt;="&amp;L$7,Entradas[Data da Competência],"&lt;"&amp;EDATE(L$7,1),Entradas[Categoria],$B10,Entradas[Status],X!$E$7,Entradas[Conta Financeira],X!$E$8,Entradas[Centro de Custos],X!$E$9)</f>
        <v>0</v>
      </c>
      <c r="M10" s="132">
        <f>SUMIFS(Entradas[Valores],Entradas[Data da Competência],"&gt;="&amp;M$7,Entradas[Data da Competência],"&lt;"&amp;EDATE(M$7,1),Entradas[Categoria],$B10,Entradas[Status],X!$E$7,Entradas[Conta Financeira],X!$E$8,Entradas[Centro de Custos],X!$E$9)</f>
        <v>19900</v>
      </c>
      <c r="N10" s="132">
        <f>SUMIFS(Entradas[Valores],Entradas[Data da Competência],"&gt;="&amp;N$7,Entradas[Data da Competência],"&lt;"&amp;EDATE(N$7,1),Entradas[Categoria],$B10,Entradas[Status],X!$E$7,Entradas[Conta Financeira],X!$E$8,Entradas[Centro de Custos],X!$E$9)</f>
        <v>5350</v>
      </c>
      <c r="O10" s="175">
        <f t="shared" ref="O10:O28" si="2">SUM(C10:N10)</f>
        <v>25250</v>
      </c>
      <c r="P10" s="9"/>
    </row>
    <row r="11">
      <c r="A11" s="9"/>
      <c r="B11" s="131" t="str">
        <f>X!V3</f>
        <v>Outras Receitas Operacionais</v>
      </c>
      <c r="C11" s="132">
        <f>SUMIFS(Entradas[Valores],Entradas[Data da Competência],"&gt;="&amp;C$7,Entradas[Data da Competência],"&lt;"&amp;EDATE(C$7,1),Entradas[Categoria],$B11,Entradas[Status],X!$E$7,Entradas[Conta Financeira],X!$E$8,Entradas[Centro de Custos],X!$E$9)</f>
        <v>0</v>
      </c>
      <c r="D11" s="132">
        <f>SUMIFS(Entradas[Valores],Entradas[Data da Competência],"&gt;="&amp;D$7,Entradas[Data da Competência],"&lt;"&amp;EDATE(D$7,1),Entradas[Categoria],$B11,Entradas[Status],X!$E$7,Entradas[Conta Financeira],X!$E$8,Entradas[Centro de Custos],X!$E$9)</f>
        <v>0</v>
      </c>
      <c r="E11" s="132">
        <f>SUMIFS(Entradas[Valores],Entradas[Data da Competência],"&gt;="&amp;E$7,Entradas[Data da Competência],"&lt;"&amp;EDATE(E$7,1),Entradas[Categoria],$B11,Entradas[Status],X!$E$7,Entradas[Conta Financeira],X!$E$8,Entradas[Centro de Custos],X!$E$9)</f>
        <v>0</v>
      </c>
      <c r="F11" s="132">
        <f>SUMIFS(Entradas[Valores],Entradas[Data da Competência],"&gt;="&amp;F$7,Entradas[Data da Competência],"&lt;"&amp;EDATE(F$7,1),Entradas[Categoria],$B11,Entradas[Status],X!$E$7,Entradas[Conta Financeira],X!$E$8,Entradas[Centro de Custos],X!$E$9)</f>
        <v>0</v>
      </c>
      <c r="G11" s="132">
        <f>SUMIFS(Entradas[Valores],Entradas[Data da Competência],"&gt;="&amp;G$7,Entradas[Data da Competência],"&lt;"&amp;EDATE(G$7,1),Entradas[Categoria],$B11,Entradas[Status],X!$E$7,Entradas[Conta Financeira],X!$E$8,Entradas[Centro de Custos],X!$E$9)</f>
        <v>0</v>
      </c>
      <c r="H11" s="132">
        <f>SUMIFS(Entradas[Valores],Entradas[Data da Competência],"&gt;="&amp;H$7,Entradas[Data da Competência],"&lt;"&amp;EDATE(H$7,1),Entradas[Categoria],$B11,Entradas[Status],X!$E$7,Entradas[Conta Financeira],X!$E$8,Entradas[Centro de Custos],X!$E$9)</f>
        <v>0</v>
      </c>
      <c r="I11" s="132">
        <f>SUMIFS(Entradas[Valores],Entradas[Data da Competência],"&gt;="&amp;I$7,Entradas[Data da Competência],"&lt;"&amp;EDATE(I$7,1),Entradas[Categoria],$B11,Entradas[Status],X!$E$7,Entradas[Conta Financeira],X!$E$8,Entradas[Centro de Custos],X!$E$9)</f>
        <v>0</v>
      </c>
      <c r="J11" s="132">
        <f>SUMIFS(Entradas[Valores],Entradas[Data da Competência],"&gt;="&amp;J$7,Entradas[Data da Competência],"&lt;"&amp;EDATE(J$7,1),Entradas[Categoria],$B11,Entradas[Status],X!$E$7,Entradas[Conta Financeira],X!$E$8,Entradas[Centro de Custos],X!$E$9)</f>
        <v>0</v>
      </c>
      <c r="K11" s="132">
        <f>SUMIFS(Entradas[Valores],Entradas[Data da Competência],"&gt;="&amp;K$7,Entradas[Data da Competência],"&lt;"&amp;EDATE(K$7,1),Entradas[Categoria],$B11,Entradas[Status],X!$E$7,Entradas[Conta Financeira],X!$E$8,Entradas[Centro de Custos],X!$E$9)</f>
        <v>0</v>
      </c>
      <c r="L11" s="132">
        <f>SUMIFS(Entradas[Valores],Entradas[Data da Competência],"&gt;="&amp;L$7,Entradas[Data da Competência],"&lt;"&amp;EDATE(L$7,1),Entradas[Categoria],$B11,Entradas[Status],X!$E$7,Entradas[Conta Financeira],X!$E$8,Entradas[Centro de Custos],X!$E$9)</f>
        <v>0</v>
      </c>
      <c r="M11" s="132">
        <f>SUMIFS(Entradas[Valores],Entradas[Data da Competência],"&gt;="&amp;M$7,Entradas[Data da Competência],"&lt;"&amp;EDATE(M$7,1),Entradas[Categoria],$B11,Entradas[Status],X!$E$7,Entradas[Conta Financeira],X!$E$8,Entradas[Centro de Custos],X!$E$9)</f>
        <v>0</v>
      </c>
      <c r="N11" s="132">
        <f>SUMIFS(Entradas[Valores],Entradas[Data da Competência],"&gt;="&amp;N$7,Entradas[Data da Competência],"&lt;"&amp;EDATE(N$7,1),Entradas[Categoria],$B11,Entradas[Status],X!$E$7,Entradas[Conta Financeira],X!$E$8,Entradas[Centro de Custos],X!$E$9)</f>
        <v>0</v>
      </c>
      <c r="O11" s="175">
        <f t="shared" si="2"/>
        <v>0</v>
      </c>
      <c r="P11" s="9"/>
    </row>
    <row r="12">
      <c r="A12" s="9"/>
      <c r="B12" s="141" t="s">
        <v>199</v>
      </c>
      <c r="C12" s="217">
        <f t="shared" ref="C12:N12" si="3">C10+C11</f>
        <v>0</v>
      </c>
      <c r="D12" s="217">
        <f t="shared" si="3"/>
        <v>0</v>
      </c>
      <c r="E12" s="217">
        <f t="shared" si="3"/>
        <v>0</v>
      </c>
      <c r="F12" s="217">
        <f t="shared" si="3"/>
        <v>0</v>
      </c>
      <c r="G12" s="217">
        <f t="shared" si="3"/>
        <v>0</v>
      </c>
      <c r="H12" s="217">
        <f t="shared" si="3"/>
        <v>0</v>
      </c>
      <c r="I12" s="217">
        <f t="shared" si="3"/>
        <v>0</v>
      </c>
      <c r="J12" s="217">
        <f t="shared" si="3"/>
        <v>0</v>
      </c>
      <c r="K12" s="217">
        <f t="shared" si="3"/>
        <v>0</v>
      </c>
      <c r="L12" s="217">
        <f t="shared" si="3"/>
        <v>0</v>
      </c>
      <c r="M12" s="217">
        <f t="shared" si="3"/>
        <v>19900</v>
      </c>
      <c r="N12" s="217">
        <f t="shared" si="3"/>
        <v>5350</v>
      </c>
      <c r="O12" s="218">
        <f t="shared" si="2"/>
        <v>25250</v>
      </c>
      <c r="P12" s="9"/>
    </row>
    <row r="13">
      <c r="A13" s="9"/>
      <c r="B13" s="131" t="str">
        <f>X!V13</f>
        <v>Impostos</v>
      </c>
      <c r="C13" s="132">
        <f>SUMIFS(Saidas[Valores],Saidas[Data da Competência],"&gt;="&amp;C$7,Saidas[Data da Competência],"&lt;"&amp;EDATE(C$7,1),Saidas[Categoria],$B13,Saidas[Status],X!$E$7,Saidas[Conta Financeira],X!$E$8,Saidas[Centro de Custos],X!$E$9)</f>
        <v>0</v>
      </c>
      <c r="D13" s="132">
        <f>SUMIFS(Saidas[Valores],Saidas[Data da Competência],"&gt;="&amp;D$7,Saidas[Data da Competência],"&lt;"&amp;EDATE(D$7,1),Saidas[Categoria],$B13,Saidas[Status],X!$E$7,Saidas[Conta Financeira],X!$E$8,Saidas[Centro de Custos],X!$E$9)</f>
        <v>0</v>
      </c>
      <c r="E13" s="132">
        <f>SUMIFS(Saidas[Valores],Saidas[Data da Competência],"&gt;="&amp;E$7,Saidas[Data da Competência],"&lt;"&amp;EDATE(E$7,1),Saidas[Categoria],$B13,Saidas[Status],X!$E$7,Saidas[Conta Financeira],X!$E$8,Saidas[Centro de Custos],X!$E$9)</f>
        <v>0</v>
      </c>
      <c r="F13" s="132">
        <f>SUMIFS(Saidas[Valores],Saidas[Data da Competência],"&gt;="&amp;F$7,Saidas[Data da Competência],"&lt;"&amp;EDATE(F$7,1),Saidas[Categoria],$B13,Saidas[Status],X!$E$7,Saidas[Conta Financeira],X!$E$8,Saidas[Centro de Custos],X!$E$9)</f>
        <v>0</v>
      </c>
      <c r="G13" s="132">
        <f>SUMIFS(Saidas[Valores],Saidas[Data da Competência],"&gt;="&amp;G$7,Saidas[Data da Competência],"&lt;"&amp;EDATE(G$7,1),Saidas[Categoria],$B13,Saidas[Status],X!$E$7,Saidas[Conta Financeira],X!$E$8,Saidas[Centro de Custos],X!$E$9)</f>
        <v>0</v>
      </c>
      <c r="H13" s="132">
        <f>SUMIFS(Saidas[Valores],Saidas[Data da Competência],"&gt;="&amp;H$7,Saidas[Data da Competência],"&lt;"&amp;EDATE(H$7,1),Saidas[Categoria],$B13,Saidas[Status],X!$E$7,Saidas[Conta Financeira],X!$E$8,Saidas[Centro de Custos],X!$E$9)</f>
        <v>0</v>
      </c>
      <c r="I13" s="132">
        <f>SUMIFS(Saidas[Valores],Saidas[Data da Competência],"&gt;="&amp;I$7,Saidas[Data da Competência],"&lt;"&amp;EDATE(I$7,1),Saidas[Categoria],$B13,Saidas[Status],X!$E$7,Saidas[Conta Financeira],X!$E$8,Saidas[Centro de Custos],X!$E$9)</f>
        <v>0</v>
      </c>
      <c r="J13" s="132">
        <f>SUMIFS(Saidas[Valores],Saidas[Data da Competência],"&gt;="&amp;J$7,Saidas[Data da Competência],"&lt;"&amp;EDATE(J$7,1),Saidas[Categoria],$B13,Saidas[Status],X!$E$7,Saidas[Conta Financeira],X!$E$8,Saidas[Centro de Custos],X!$E$9)</f>
        <v>0</v>
      </c>
      <c r="K13" s="132">
        <f>SUMIFS(Saidas[Valores],Saidas[Data da Competência],"&gt;="&amp;K$7,Saidas[Data da Competência],"&lt;"&amp;EDATE(K$7,1),Saidas[Categoria],$B13,Saidas[Status],X!$E$7,Saidas[Conta Financeira],X!$E$8,Saidas[Centro de Custos],X!$E$9)</f>
        <v>0</v>
      </c>
      <c r="L13" s="132">
        <f>SUMIFS(Saidas[Valores],Saidas[Data da Competência],"&gt;="&amp;L$7,Saidas[Data da Competência],"&lt;"&amp;EDATE(L$7,1),Saidas[Categoria],$B13,Saidas[Status],X!$E$7,Saidas[Conta Financeira],X!$E$8,Saidas[Centro de Custos],X!$E$9)</f>
        <v>0</v>
      </c>
      <c r="M13" s="132">
        <f>SUMIFS(Saidas[Valores],Saidas[Data da Competência],"&gt;="&amp;M$7,Saidas[Data da Competência],"&lt;"&amp;EDATE(M$7,1),Saidas[Categoria],$B13,Saidas[Status],X!$E$7,Saidas[Conta Financeira],X!$E$8,Saidas[Centro de Custos],X!$E$9)</f>
        <v>650</v>
      </c>
      <c r="N13" s="132">
        <f>SUMIFS(Saidas[Valores],Saidas[Data da Competência],"&gt;="&amp;N$7,Saidas[Data da Competência],"&lt;"&amp;EDATE(N$7,1),Saidas[Categoria],$B13,Saidas[Status],X!$E$7,Saidas[Conta Financeira],X!$E$8,Saidas[Centro de Custos],X!$E$9)</f>
        <v>0</v>
      </c>
      <c r="O13" s="175">
        <f t="shared" si="2"/>
        <v>650</v>
      </c>
      <c r="P13" s="9"/>
    </row>
    <row r="14">
      <c r="A14" s="9"/>
      <c r="B14" s="131" t="str">
        <f>X!V6</f>
        <v>Deduções sobre vendas</v>
      </c>
      <c r="C14" s="132">
        <f>SUMIFS(Saidas[Valores],Saidas[Data da Competência],"&gt;="&amp;C$7,Saidas[Data da Competência],"&lt;"&amp;EDATE(C$7,1),Saidas[Categoria],$B14,Saidas[Status],X!$E$7,Saidas[Conta Financeira],X!$E$8,Saidas[Centro de Custos],X!$E$9)</f>
        <v>0</v>
      </c>
      <c r="D14" s="132">
        <f>SUMIFS(Saidas[Valores],Saidas[Data da Competência],"&gt;="&amp;D$7,Saidas[Data da Competência],"&lt;"&amp;EDATE(D$7,1),Saidas[Categoria],$B14,Saidas[Status],X!$E$7,Saidas[Conta Financeira],X!$E$8,Saidas[Centro de Custos],X!$E$9)</f>
        <v>0</v>
      </c>
      <c r="E14" s="132">
        <f>SUMIFS(Saidas[Valores],Saidas[Data da Competência],"&gt;="&amp;E$7,Saidas[Data da Competência],"&lt;"&amp;EDATE(E$7,1),Saidas[Categoria],$B14,Saidas[Status],X!$E$7,Saidas[Conta Financeira],X!$E$8,Saidas[Centro de Custos],X!$E$9)</f>
        <v>0</v>
      </c>
      <c r="F14" s="132">
        <f>SUMIFS(Saidas[Valores],Saidas[Data da Competência],"&gt;="&amp;F$7,Saidas[Data da Competência],"&lt;"&amp;EDATE(F$7,1),Saidas[Categoria],$B14,Saidas[Status],X!$E$7,Saidas[Conta Financeira],X!$E$8,Saidas[Centro de Custos],X!$E$9)</f>
        <v>0</v>
      </c>
      <c r="G14" s="132">
        <f>SUMIFS(Saidas[Valores],Saidas[Data da Competência],"&gt;="&amp;G$7,Saidas[Data da Competência],"&lt;"&amp;EDATE(G$7,1),Saidas[Categoria],$B14,Saidas[Status],X!$E$7,Saidas[Conta Financeira],X!$E$8,Saidas[Centro de Custos],X!$E$9)</f>
        <v>0</v>
      </c>
      <c r="H14" s="132">
        <f>SUMIFS(Saidas[Valores],Saidas[Data da Competência],"&gt;="&amp;H$7,Saidas[Data da Competência],"&lt;"&amp;EDATE(H$7,1),Saidas[Categoria],$B14,Saidas[Status],X!$E$7,Saidas[Conta Financeira],X!$E$8,Saidas[Centro de Custos],X!$E$9)</f>
        <v>0</v>
      </c>
      <c r="I14" s="132">
        <f>SUMIFS(Saidas[Valores],Saidas[Data da Competência],"&gt;="&amp;I$7,Saidas[Data da Competência],"&lt;"&amp;EDATE(I$7,1),Saidas[Categoria],$B14,Saidas[Status],X!$E$7,Saidas[Conta Financeira],X!$E$8,Saidas[Centro de Custos],X!$E$9)</f>
        <v>0</v>
      </c>
      <c r="J14" s="132">
        <f>SUMIFS(Saidas[Valores],Saidas[Data da Competência],"&gt;="&amp;J$7,Saidas[Data da Competência],"&lt;"&amp;EDATE(J$7,1),Saidas[Categoria],$B14,Saidas[Status],X!$E$7,Saidas[Conta Financeira],X!$E$8,Saidas[Centro de Custos],X!$E$9)</f>
        <v>0</v>
      </c>
      <c r="K14" s="132">
        <f>SUMIFS(Saidas[Valores],Saidas[Data da Competência],"&gt;="&amp;K$7,Saidas[Data da Competência],"&lt;"&amp;EDATE(K$7,1),Saidas[Categoria],$B14,Saidas[Status],X!$E$7,Saidas[Conta Financeira],X!$E$8,Saidas[Centro de Custos],X!$E$9)</f>
        <v>0</v>
      </c>
      <c r="L14" s="132">
        <f>SUMIFS(Saidas[Valores],Saidas[Data da Competência],"&gt;="&amp;L$7,Saidas[Data da Competência],"&lt;"&amp;EDATE(L$7,1),Saidas[Categoria],$B14,Saidas[Status],X!$E$7,Saidas[Conta Financeira],X!$E$8,Saidas[Centro de Custos],X!$E$9)</f>
        <v>0</v>
      </c>
      <c r="M14" s="132">
        <f>SUMIFS(Saidas[Valores],Saidas[Data da Competência],"&gt;="&amp;M$7,Saidas[Data da Competência],"&lt;"&amp;EDATE(M$7,1),Saidas[Categoria],$B14,Saidas[Status],X!$E$7,Saidas[Conta Financeira],X!$E$8,Saidas[Centro de Custos],X!$E$9)</f>
        <v>925</v>
      </c>
      <c r="N14" s="132">
        <f>SUMIFS(Saidas[Valores],Saidas[Data da Competência],"&gt;="&amp;N$7,Saidas[Data da Competência],"&lt;"&amp;EDATE(N$7,1),Saidas[Categoria],$B14,Saidas[Status],X!$E$7,Saidas[Conta Financeira],X!$E$8,Saidas[Centro de Custos],X!$E$9)</f>
        <v>0</v>
      </c>
      <c r="O14" s="175">
        <f t="shared" si="2"/>
        <v>925</v>
      </c>
      <c r="P14" s="9"/>
    </row>
    <row r="15">
      <c r="A15" s="9"/>
      <c r="B15" s="141" t="s">
        <v>201</v>
      </c>
      <c r="C15" s="217">
        <f t="shared" ref="C15:N15" si="4">C12-C13-C14</f>
        <v>0</v>
      </c>
      <c r="D15" s="217">
        <f t="shared" si="4"/>
        <v>0</v>
      </c>
      <c r="E15" s="217">
        <f t="shared" si="4"/>
        <v>0</v>
      </c>
      <c r="F15" s="217">
        <f t="shared" si="4"/>
        <v>0</v>
      </c>
      <c r="G15" s="217">
        <f t="shared" si="4"/>
        <v>0</v>
      </c>
      <c r="H15" s="217">
        <f t="shared" si="4"/>
        <v>0</v>
      </c>
      <c r="I15" s="217">
        <f t="shared" si="4"/>
        <v>0</v>
      </c>
      <c r="J15" s="217">
        <f t="shared" si="4"/>
        <v>0</v>
      </c>
      <c r="K15" s="217">
        <f t="shared" si="4"/>
        <v>0</v>
      </c>
      <c r="L15" s="217">
        <f t="shared" si="4"/>
        <v>0</v>
      </c>
      <c r="M15" s="217">
        <f t="shared" si="4"/>
        <v>18325</v>
      </c>
      <c r="N15" s="217">
        <f t="shared" si="4"/>
        <v>5350</v>
      </c>
      <c r="O15" s="218">
        <f t="shared" si="2"/>
        <v>23675</v>
      </c>
      <c r="P15" s="9"/>
    </row>
    <row r="16">
      <c r="A16" s="9"/>
      <c r="B16" s="131" t="str">
        <f>X!V7</f>
        <v>Custo das Vendas</v>
      </c>
      <c r="C16" s="132">
        <f>SUMIFS(Saidas[Valores],Saidas[Data da Competência],"&gt;="&amp;C$7,Saidas[Data da Competência],"&lt;"&amp;EDATE(C$7,1),Saidas[Categoria],$B16,Saidas[Status],X!$E$7,Saidas[Conta Financeira],X!$E$8,Saidas[Centro de Custos],X!$E$9)</f>
        <v>0</v>
      </c>
      <c r="D16" s="132">
        <f>SUMIFS(Saidas[Valores],Saidas[Data da Competência],"&gt;="&amp;D$7,Saidas[Data da Competência],"&lt;"&amp;EDATE(D$7,1),Saidas[Categoria],$B16,Saidas[Status],X!$E$7,Saidas[Conta Financeira],X!$E$8,Saidas[Centro de Custos],X!$E$9)</f>
        <v>0</v>
      </c>
      <c r="E16" s="132">
        <f>SUMIFS(Saidas[Valores],Saidas[Data da Competência],"&gt;="&amp;E$7,Saidas[Data da Competência],"&lt;"&amp;EDATE(E$7,1),Saidas[Categoria],$B16,Saidas[Status],X!$E$7,Saidas[Conta Financeira],X!$E$8,Saidas[Centro de Custos],X!$E$9)</f>
        <v>0</v>
      </c>
      <c r="F16" s="132">
        <f>SUMIFS(Saidas[Valores],Saidas[Data da Competência],"&gt;="&amp;F$7,Saidas[Data da Competência],"&lt;"&amp;EDATE(F$7,1),Saidas[Categoria],$B16,Saidas[Status],X!$E$7,Saidas[Conta Financeira],X!$E$8,Saidas[Centro de Custos],X!$E$9)</f>
        <v>0</v>
      </c>
      <c r="G16" s="132">
        <f>SUMIFS(Saidas[Valores],Saidas[Data da Competência],"&gt;="&amp;G$7,Saidas[Data da Competência],"&lt;"&amp;EDATE(G$7,1),Saidas[Categoria],$B16,Saidas[Status],X!$E$7,Saidas[Conta Financeira],X!$E$8,Saidas[Centro de Custos],X!$E$9)</f>
        <v>0</v>
      </c>
      <c r="H16" s="132">
        <f>SUMIFS(Saidas[Valores],Saidas[Data da Competência],"&gt;="&amp;H$7,Saidas[Data da Competência],"&lt;"&amp;EDATE(H$7,1),Saidas[Categoria],$B16,Saidas[Status],X!$E$7,Saidas[Conta Financeira],X!$E$8,Saidas[Centro de Custos],X!$E$9)</f>
        <v>0</v>
      </c>
      <c r="I16" s="132">
        <f>SUMIFS(Saidas[Valores],Saidas[Data da Competência],"&gt;="&amp;I$7,Saidas[Data da Competência],"&lt;"&amp;EDATE(I$7,1),Saidas[Categoria],$B16,Saidas[Status],X!$E$7,Saidas[Conta Financeira],X!$E$8,Saidas[Centro de Custos],X!$E$9)</f>
        <v>0</v>
      </c>
      <c r="J16" s="132">
        <f>SUMIFS(Saidas[Valores],Saidas[Data da Competência],"&gt;="&amp;J$7,Saidas[Data da Competência],"&lt;"&amp;EDATE(J$7,1),Saidas[Categoria],$B16,Saidas[Status],X!$E$7,Saidas[Conta Financeira],X!$E$8,Saidas[Centro de Custos],X!$E$9)</f>
        <v>0</v>
      </c>
      <c r="K16" s="132">
        <f>SUMIFS(Saidas[Valores],Saidas[Data da Competência],"&gt;="&amp;K$7,Saidas[Data da Competência],"&lt;"&amp;EDATE(K$7,1),Saidas[Categoria],$B16,Saidas[Status],X!$E$7,Saidas[Conta Financeira],X!$E$8,Saidas[Centro de Custos],X!$E$9)</f>
        <v>0</v>
      </c>
      <c r="L16" s="132">
        <f>SUMIFS(Saidas[Valores],Saidas[Data da Competência],"&gt;="&amp;L$7,Saidas[Data da Competência],"&lt;"&amp;EDATE(L$7,1),Saidas[Categoria],$B16,Saidas[Status],X!$E$7,Saidas[Conta Financeira],X!$E$8,Saidas[Centro de Custos],X!$E$9)</f>
        <v>0</v>
      </c>
      <c r="M16" s="132">
        <f>SUMIFS(Saidas[Valores],Saidas[Data da Competência],"&gt;="&amp;M$7,Saidas[Data da Competência],"&lt;"&amp;EDATE(M$7,1),Saidas[Categoria],$B16,Saidas[Status],X!$E$7,Saidas[Conta Financeira],X!$E$8,Saidas[Centro de Custos],X!$E$9)</f>
        <v>8823</v>
      </c>
      <c r="N16" s="132">
        <f>SUMIFS(Saidas[Valores],Saidas[Data da Competência],"&gt;="&amp;N$7,Saidas[Data da Competência],"&lt;"&amp;EDATE(N$7,1),Saidas[Categoria],$B16,Saidas[Status],X!$E$7,Saidas[Conta Financeira],X!$E$8,Saidas[Centro de Custos],X!$E$9)</f>
        <v>0</v>
      </c>
      <c r="O16" s="175">
        <f t="shared" si="2"/>
        <v>8823</v>
      </c>
      <c r="P16" s="9"/>
    </row>
    <row r="17">
      <c r="A17" s="9"/>
      <c r="B17" s="141" t="s">
        <v>203</v>
      </c>
      <c r="C17" s="217">
        <f t="shared" ref="C17:N17" si="5">C15-C16</f>
        <v>0</v>
      </c>
      <c r="D17" s="217">
        <f t="shared" si="5"/>
        <v>0</v>
      </c>
      <c r="E17" s="217">
        <f t="shared" si="5"/>
        <v>0</v>
      </c>
      <c r="F17" s="217">
        <f t="shared" si="5"/>
        <v>0</v>
      </c>
      <c r="G17" s="217">
        <f t="shared" si="5"/>
        <v>0</v>
      </c>
      <c r="H17" s="217">
        <f t="shared" si="5"/>
        <v>0</v>
      </c>
      <c r="I17" s="217">
        <f t="shared" si="5"/>
        <v>0</v>
      </c>
      <c r="J17" s="217">
        <f t="shared" si="5"/>
        <v>0</v>
      </c>
      <c r="K17" s="217">
        <f t="shared" si="5"/>
        <v>0</v>
      </c>
      <c r="L17" s="217">
        <f t="shared" si="5"/>
        <v>0</v>
      </c>
      <c r="M17" s="217">
        <f t="shared" si="5"/>
        <v>9502</v>
      </c>
      <c r="N17" s="217">
        <f t="shared" si="5"/>
        <v>5350</v>
      </c>
      <c r="O17" s="218">
        <f t="shared" si="2"/>
        <v>14852</v>
      </c>
      <c r="P17" s="9"/>
    </row>
    <row r="18">
      <c r="A18" s="9"/>
      <c r="B18" s="131" t="str">
        <f>X!V8</f>
        <v>Despesas administrativas</v>
      </c>
      <c r="C18" s="132">
        <f>SUMIFS(Saidas[Valores],Saidas[Data da Competência],"&gt;="&amp;C$7,Saidas[Data da Competência],"&lt;"&amp;EDATE(C$7,1),Saidas[Categoria],$B18,Saidas[Status],X!$E$7,Saidas[Conta Financeira],X!$E$8,Saidas[Centro de Custos],X!$E$9)</f>
        <v>0</v>
      </c>
      <c r="D18" s="132">
        <f>SUMIFS(Saidas[Valores],Saidas[Data da Competência],"&gt;="&amp;D$7,Saidas[Data da Competência],"&lt;"&amp;EDATE(D$7,1),Saidas[Categoria],$B18,Saidas[Status],X!$E$7,Saidas[Conta Financeira],X!$E$8,Saidas[Centro de Custos],X!$E$9)</f>
        <v>0</v>
      </c>
      <c r="E18" s="132">
        <f>SUMIFS(Saidas[Valores],Saidas[Data da Competência],"&gt;="&amp;E$7,Saidas[Data da Competência],"&lt;"&amp;EDATE(E$7,1),Saidas[Categoria],$B18,Saidas[Status],X!$E$7,Saidas[Conta Financeira],X!$E$8,Saidas[Centro de Custos],X!$E$9)</f>
        <v>0</v>
      </c>
      <c r="F18" s="132">
        <f>SUMIFS(Saidas[Valores],Saidas[Data da Competência],"&gt;="&amp;F$7,Saidas[Data da Competência],"&lt;"&amp;EDATE(F$7,1),Saidas[Categoria],$B18,Saidas[Status],X!$E$7,Saidas[Conta Financeira],X!$E$8,Saidas[Centro de Custos],X!$E$9)</f>
        <v>0</v>
      </c>
      <c r="G18" s="132">
        <f>SUMIFS(Saidas[Valores],Saidas[Data da Competência],"&gt;="&amp;G$7,Saidas[Data da Competência],"&lt;"&amp;EDATE(G$7,1),Saidas[Categoria],$B18,Saidas[Status],X!$E$7,Saidas[Conta Financeira],X!$E$8,Saidas[Centro de Custos],X!$E$9)</f>
        <v>0</v>
      </c>
      <c r="H18" s="132">
        <f>SUMIFS(Saidas[Valores],Saidas[Data da Competência],"&gt;="&amp;H$7,Saidas[Data da Competência],"&lt;"&amp;EDATE(H$7,1),Saidas[Categoria],$B18,Saidas[Status],X!$E$7,Saidas[Conta Financeira],X!$E$8,Saidas[Centro de Custos],X!$E$9)</f>
        <v>0</v>
      </c>
      <c r="I18" s="132">
        <f>SUMIFS(Saidas[Valores],Saidas[Data da Competência],"&gt;="&amp;I$7,Saidas[Data da Competência],"&lt;"&amp;EDATE(I$7,1),Saidas[Categoria],$B18,Saidas[Status],X!$E$7,Saidas[Conta Financeira],X!$E$8,Saidas[Centro de Custos],X!$E$9)</f>
        <v>0</v>
      </c>
      <c r="J18" s="132">
        <f>SUMIFS(Saidas[Valores],Saidas[Data da Competência],"&gt;="&amp;J$7,Saidas[Data da Competência],"&lt;"&amp;EDATE(J$7,1),Saidas[Categoria],$B18,Saidas[Status],X!$E$7,Saidas[Conta Financeira],X!$E$8,Saidas[Centro de Custos],X!$E$9)</f>
        <v>0</v>
      </c>
      <c r="K18" s="132">
        <f>SUMIFS(Saidas[Valores],Saidas[Data da Competência],"&gt;="&amp;K$7,Saidas[Data da Competência],"&lt;"&amp;EDATE(K$7,1),Saidas[Categoria],$B18,Saidas[Status],X!$E$7,Saidas[Conta Financeira],X!$E$8,Saidas[Centro de Custos],X!$E$9)</f>
        <v>0</v>
      </c>
      <c r="L18" s="132">
        <f>SUMIFS(Saidas[Valores],Saidas[Data da Competência],"&gt;="&amp;L$7,Saidas[Data da Competência],"&lt;"&amp;EDATE(L$7,1),Saidas[Categoria],$B18,Saidas[Status],X!$E$7,Saidas[Conta Financeira],X!$E$8,Saidas[Centro de Custos],X!$E$9)</f>
        <v>0</v>
      </c>
      <c r="M18" s="132">
        <f>SUMIFS(Saidas[Valores],Saidas[Data da Competência],"&gt;="&amp;M$7,Saidas[Data da Competência],"&lt;"&amp;EDATE(M$7,1),Saidas[Categoria],$B18,Saidas[Status],X!$E$7,Saidas[Conta Financeira],X!$E$8,Saidas[Centro de Custos],X!$E$9)</f>
        <v>4270</v>
      </c>
      <c r="N18" s="132">
        <f>SUMIFS(Saidas[Valores],Saidas[Data da Competência],"&gt;="&amp;N$7,Saidas[Data da Competência],"&lt;"&amp;EDATE(N$7,1),Saidas[Categoria],$B18,Saidas[Status],X!$E$7,Saidas[Conta Financeira],X!$E$8,Saidas[Centro de Custos],X!$E$9)</f>
        <v>0</v>
      </c>
      <c r="O18" s="175">
        <f t="shared" si="2"/>
        <v>4270</v>
      </c>
      <c r="P18" s="9"/>
    </row>
    <row r="19">
      <c r="A19" s="9"/>
      <c r="B19" s="131" t="str">
        <f>X!V9</f>
        <v>Despesa com Pessoal</v>
      </c>
      <c r="C19" s="132">
        <f>SUMIFS(Saidas[Valores],Saidas[Data da Competência],"&gt;="&amp;C$7,Saidas[Data da Competência],"&lt;"&amp;EDATE(C$7,1),Saidas[Categoria],$B19,Saidas[Status],X!$E$7,Saidas[Conta Financeira],X!$E$8,Saidas[Centro de Custos],X!$E$9)</f>
        <v>0</v>
      </c>
      <c r="D19" s="132">
        <f>SUMIFS(Saidas[Valores],Saidas[Data da Competência],"&gt;="&amp;D$7,Saidas[Data da Competência],"&lt;"&amp;EDATE(D$7,1),Saidas[Categoria],$B19,Saidas[Status],X!$E$7,Saidas[Conta Financeira],X!$E$8,Saidas[Centro de Custos],X!$E$9)</f>
        <v>0</v>
      </c>
      <c r="E19" s="132">
        <f>SUMIFS(Saidas[Valores],Saidas[Data da Competência],"&gt;="&amp;E$7,Saidas[Data da Competência],"&lt;"&amp;EDATE(E$7,1),Saidas[Categoria],$B19,Saidas[Status],X!$E$7,Saidas[Conta Financeira],X!$E$8,Saidas[Centro de Custos],X!$E$9)</f>
        <v>0</v>
      </c>
      <c r="F19" s="132">
        <f>SUMIFS(Saidas[Valores],Saidas[Data da Competência],"&gt;="&amp;F$7,Saidas[Data da Competência],"&lt;"&amp;EDATE(F$7,1),Saidas[Categoria],$B19,Saidas[Status],X!$E$7,Saidas[Conta Financeira],X!$E$8,Saidas[Centro de Custos],X!$E$9)</f>
        <v>0</v>
      </c>
      <c r="G19" s="132">
        <f>SUMIFS(Saidas[Valores],Saidas[Data da Competência],"&gt;="&amp;G$7,Saidas[Data da Competência],"&lt;"&amp;EDATE(G$7,1),Saidas[Categoria],$B19,Saidas[Status],X!$E$7,Saidas[Conta Financeira],X!$E$8,Saidas[Centro de Custos],X!$E$9)</f>
        <v>0</v>
      </c>
      <c r="H19" s="132">
        <f>SUMIFS(Saidas[Valores],Saidas[Data da Competência],"&gt;="&amp;H$7,Saidas[Data da Competência],"&lt;"&amp;EDATE(H$7,1),Saidas[Categoria],$B19,Saidas[Status],X!$E$7,Saidas[Conta Financeira],X!$E$8,Saidas[Centro de Custos],X!$E$9)</f>
        <v>0</v>
      </c>
      <c r="I19" s="132">
        <f>SUMIFS(Saidas[Valores],Saidas[Data da Competência],"&gt;="&amp;I$7,Saidas[Data da Competência],"&lt;"&amp;EDATE(I$7,1),Saidas[Categoria],$B19,Saidas[Status],X!$E$7,Saidas[Conta Financeira],X!$E$8,Saidas[Centro de Custos],X!$E$9)</f>
        <v>0</v>
      </c>
      <c r="J19" s="132">
        <f>SUMIFS(Saidas[Valores],Saidas[Data da Competência],"&gt;="&amp;J$7,Saidas[Data da Competência],"&lt;"&amp;EDATE(J$7,1),Saidas[Categoria],$B19,Saidas[Status],X!$E$7,Saidas[Conta Financeira],X!$E$8,Saidas[Centro de Custos],X!$E$9)</f>
        <v>0</v>
      </c>
      <c r="K19" s="132">
        <f>SUMIFS(Saidas[Valores],Saidas[Data da Competência],"&gt;="&amp;K$7,Saidas[Data da Competência],"&lt;"&amp;EDATE(K$7,1),Saidas[Categoria],$B19,Saidas[Status],X!$E$7,Saidas[Conta Financeira],X!$E$8,Saidas[Centro de Custos],X!$E$9)</f>
        <v>0</v>
      </c>
      <c r="L19" s="132">
        <f>SUMIFS(Saidas[Valores],Saidas[Data da Competência],"&gt;="&amp;L$7,Saidas[Data da Competência],"&lt;"&amp;EDATE(L$7,1),Saidas[Categoria],$B19,Saidas[Status],X!$E$7,Saidas[Conta Financeira],X!$E$8,Saidas[Centro de Custos],X!$E$9)</f>
        <v>0</v>
      </c>
      <c r="M19" s="132">
        <f>SUMIFS(Saidas[Valores],Saidas[Data da Competência],"&gt;="&amp;M$7,Saidas[Data da Competência],"&lt;"&amp;EDATE(M$7,1),Saidas[Categoria],$B19,Saidas[Status],X!$E$7,Saidas[Conta Financeira],X!$E$8,Saidas[Centro de Custos],X!$E$9)</f>
        <v>7920</v>
      </c>
      <c r="N19" s="132">
        <f>SUMIFS(Saidas[Valores],Saidas[Data da Competência],"&gt;="&amp;N$7,Saidas[Data da Competência],"&lt;"&amp;EDATE(N$7,1),Saidas[Categoria],$B19,Saidas[Status],X!$E$7,Saidas[Conta Financeira],X!$E$8,Saidas[Centro de Custos],X!$E$9)</f>
        <v>0</v>
      </c>
      <c r="O19" s="175">
        <f t="shared" si="2"/>
        <v>7920</v>
      </c>
      <c r="P19" s="9"/>
    </row>
    <row r="20">
      <c r="A20" s="9"/>
      <c r="B20" s="131" t="str">
        <f>X!V10</f>
        <v>Despesa Comercial</v>
      </c>
      <c r="C20" s="132">
        <f>SUMIFS(Saidas[Valores],Saidas[Data da Competência],"&gt;="&amp;C$7,Saidas[Data da Competência],"&lt;"&amp;EDATE(C$7,1),Saidas[Categoria],$B20,Saidas[Status],X!$E$7,Saidas[Conta Financeira],X!$E$8,Saidas[Centro de Custos],X!$E$9)</f>
        <v>0</v>
      </c>
      <c r="D20" s="132">
        <f>SUMIFS(Saidas[Valores],Saidas[Data da Competência],"&gt;="&amp;D$7,Saidas[Data da Competência],"&lt;"&amp;EDATE(D$7,1),Saidas[Categoria],$B20,Saidas[Status],X!$E$7,Saidas[Conta Financeira],X!$E$8,Saidas[Centro de Custos],X!$E$9)</f>
        <v>0</v>
      </c>
      <c r="E20" s="132">
        <f>SUMIFS(Saidas[Valores],Saidas[Data da Competência],"&gt;="&amp;E$7,Saidas[Data da Competência],"&lt;"&amp;EDATE(E$7,1),Saidas[Categoria],$B20,Saidas[Status],X!$E$7,Saidas[Conta Financeira],X!$E$8,Saidas[Centro de Custos],X!$E$9)</f>
        <v>0</v>
      </c>
      <c r="F20" s="132">
        <f>SUMIFS(Saidas[Valores],Saidas[Data da Competência],"&gt;="&amp;F$7,Saidas[Data da Competência],"&lt;"&amp;EDATE(F$7,1),Saidas[Categoria],$B20,Saidas[Status],X!$E$7,Saidas[Conta Financeira],X!$E$8,Saidas[Centro de Custos],X!$E$9)</f>
        <v>0</v>
      </c>
      <c r="G20" s="132">
        <f>SUMIFS(Saidas[Valores],Saidas[Data da Competência],"&gt;="&amp;G$7,Saidas[Data da Competência],"&lt;"&amp;EDATE(G$7,1),Saidas[Categoria],$B20,Saidas[Status],X!$E$7,Saidas[Conta Financeira],X!$E$8,Saidas[Centro de Custos],X!$E$9)</f>
        <v>0</v>
      </c>
      <c r="H20" s="132">
        <f>SUMIFS(Saidas[Valores],Saidas[Data da Competência],"&gt;="&amp;H$7,Saidas[Data da Competência],"&lt;"&amp;EDATE(H$7,1),Saidas[Categoria],$B20,Saidas[Status],X!$E$7,Saidas[Conta Financeira],X!$E$8,Saidas[Centro de Custos],X!$E$9)</f>
        <v>0</v>
      </c>
      <c r="I20" s="132">
        <f>SUMIFS(Saidas[Valores],Saidas[Data da Competência],"&gt;="&amp;I$7,Saidas[Data da Competência],"&lt;"&amp;EDATE(I$7,1),Saidas[Categoria],$B20,Saidas[Status],X!$E$7,Saidas[Conta Financeira],X!$E$8,Saidas[Centro de Custos],X!$E$9)</f>
        <v>0</v>
      </c>
      <c r="J20" s="132">
        <f>SUMIFS(Saidas[Valores],Saidas[Data da Competência],"&gt;="&amp;J$7,Saidas[Data da Competência],"&lt;"&amp;EDATE(J$7,1),Saidas[Categoria],$B20,Saidas[Status],X!$E$7,Saidas[Conta Financeira],X!$E$8,Saidas[Centro de Custos],X!$E$9)</f>
        <v>0</v>
      </c>
      <c r="K20" s="132">
        <f>SUMIFS(Saidas[Valores],Saidas[Data da Competência],"&gt;="&amp;K$7,Saidas[Data da Competência],"&lt;"&amp;EDATE(K$7,1),Saidas[Categoria],$B20,Saidas[Status],X!$E$7,Saidas[Conta Financeira],X!$E$8,Saidas[Centro de Custos],X!$E$9)</f>
        <v>0</v>
      </c>
      <c r="L20" s="132">
        <f>SUMIFS(Saidas[Valores],Saidas[Data da Competência],"&gt;="&amp;L$7,Saidas[Data da Competência],"&lt;"&amp;EDATE(L$7,1),Saidas[Categoria],$B20,Saidas[Status],X!$E$7,Saidas[Conta Financeira],X!$E$8,Saidas[Centro de Custos],X!$E$9)</f>
        <v>0</v>
      </c>
      <c r="M20" s="132">
        <f>SUMIFS(Saidas[Valores],Saidas[Data da Competência],"&gt;="&amp;M$7,Saidas[Data da Competência],"&lt;"&amp;EDATE(M$7,1),Saidas[Categoria],$B20,Saidas[Status],X!$E$7,Saidas[Conta Financeira],X!$E$8,Saidas[Centro de Custos],X!$E$9)</f>
        <v>0</v>
      </c>
      <c r="N20" s="132">
        <f>SUMIFS(Saidas[Valores],Saidas[Data da Competência],"&gt;="&amp;N$7,Saidas[Data da Competência],"&lt;"&amp;EDATE(N$7,1),Saidas[Categoria],$B20,Saidas[Status],X!$E$7,Saidas[Conta Financeira],X!$E$8,Saidas[Centro de Custos],X!$E$9)</f>
        <v>0</v>
      </c>
      <c r="O20" s="175">
        <f t="shared" si="2"/>
        <v>0</v>
      </c>
      <c r="P20" s="9"/>
    </row>
    <row r="21">
      <c r="A21" s="9"/>
      <c r="B21" s="141" t="s">
        <v>215</v>
      </c>
      <c r="C21" s="217">
        <f t="shared" ref="C21:N21" si="6">C17-C20-C18-C19</f>
        <v>0</v>
      </c>
      <c r="D21" s="217">
        <f t="shared" si="6"/>
        <v>0</v>
      </c>
      <c r="E21" s="217">
        <f t="shared" si="6"/>
        <v>0</v>
      </c>
      <c r="F21" s="217">
        <f t="shared" si="6"/>
        <v>0</v>
      </c>
      <c r="G21" s="217">
        <f t="shared" si="6"/>
        <v>0</v>
      </c>
      <c r="H21" s="217">
        <f t="shared" si="6"/>
        <v>0</v>
      </c>
      <c r="I21" s="217">
        <f t="shared" si="6"/>
        <v>0</v>
      </c>
      <c r="J21" s="217">
        <f t="shared" si="6"/>
        <v>0</v>
      </c>
      <c r="K21" s="217">
        <f t="shared" si="6"/>
        <v>0</v>
      </c>
      <c r="L21" s="217">
        <f t="shared" si="6"/>
        <v>0</v>
      </c>
      <c r="M21" s="217">
        <f t="shared" si="6"/>
        <v>-2688</v>
      </c>
      <c r="N21" s="217">
        <f t="shared" si="6"/>
        <v>5350</v>
      </c>
      <c r="O21" s="218">
        <f t="shared" si="2"/>
        <v>2662</v>
      </c>
      <c r="P21" s="9"/>
    </row>
    <row r="22">
      <c r="A22" s="9"/>
      <c r="B22" s="131" t="str">
        <f>X!V4</f>
        <v>Receitas Financeiras</v>
      </c>
      <c r="C22" s="132">
        <f>SUMIFS(Entradas[Valores],Entradas[Data da Competência],"&gt;="&amp;C$7,Entradas[Data da Competência],"&lt;"&amp;EDATE(C$7,1),Entradas[Categoria],$B22,Entradas[Status],X!$E$7,Entradas[Conta Financeira],X!$E$8,Entradas[Centro de Custos],X!$E$9)</f>
        <v>0</v>
      </c>
      <c r="D22" s="132">
        <f>SUMIFS(Entradas[Valores],Entradas[Data da Competência],"&gt;="&amp;D$7,Entradas[Data da Competência],"&lt;"&amp;EDATE(D$7,1),Entradas[Categoria],$B22,Entradas[Status],X!$E$7,Entradas[Conta Financeira],X!$E$8,Entradas[Centro de Custos],X!$E$9)</f>
        <v>0</v>
      </c>
      <c r="E22" s="132">
        <f>SUMIFS(Entradas[Valores],Entradas[Data da Competência],"&gt;="&amp;E$7,Entradas[Data da Competência],"&lt;"&amp;EDATE(E$7,1),Entradas[Categoria],$B22,Entradas[Status],X!$E$7,Entradas[Conta Financeira],X!$E$8,Entradas[Centro de Custos],X!$E$9)</f>
        <v>0</v>
      </c>
      <c r="F22" s="132">
        <f>SUMIFS(Entradas[Valores],Entradas[Data da Competência],"&gt;="&amp;F$7,Entradas[Data da Competência],"&lt;"&amp;EDATE(F$7,1),Entradas[Categoria],$B22,Entradas[Status],X!$E$7,Entradas[Conta Financeira],X!$E$8,Entradas[Centro de Custos],X!$E$9)</f>
        <v>0</v>
      </c>
      <c r="G22" s="132">
        <f>SUMIFS(Entradas[Valores],Entradas[Data da Competência],"&gt;="&amp;G$7,Entradas[Data da Competência],"&lt;"&amp;EDATE(G$7,1),Entradas[Categoria],$B22,Entradas[Status],X!$E$7,Entradas[Conta Financeira],X!$E$8,Entradas[Centro de Custos],X!$E$9)</f>
        <v>0</v>
      </c>
      <c r="H22" s="132">
        <f>SUMIFS(Entradas[Valores],Entradas[Data da Competência],"&gt;="&amp;H$7,Entradas[Data da Competência],"&lt;"&amp;EDATE(H$7,1),Entradas[Categoria],$B22,Entradas[Status],X!$E$7,Entradas[Conta Financeira],X!$E$8,Entradas[Centro de Custos],X!$E$9)</f>
        <v>0</v>
      </c>
      <c r="I22" s="132">
        <f>SUMIFS(Entradas[Valores],Entradas[Data da Competência],"&gt;="&amp;I$7,Entradas[Data da Competência],"&lt;"&amp;EDATE(I$7,1),Entradas[Categoria],$B22,Entradas[Status],X!$E$7,Entradas[Conta Financeira],X!$E$8,Entradas[Centro de Custos],X!$E$9)</f>
        <v>0</v>
      </c>
      <c r="J22" s="132">
        <f>SUMIFS(Entradas[Valores],Entradas[Data da Competência],"&gt;="&amp;J$7,Entradas[Data da Competência],"&lt;"&amp;EDATE(J$7,1),Entradas[Categoria],$B22,Entradas[Status],X!$E$7,Entradas[Conta Financeira],X!$E$8,Entradas[Centro de Custos],X!$E$9)</f>
        <v>0</v>
      </c>
      <c r="K22" s="132">
        <f>SUMIFS(Entradas[Valores],Entradas[Data da Competência],"&gt;="&amp;K$7,Entradas[Data da Competência],"&lt;"&amp;EDATE(K$7,1),Entradas[Categoria],$B22,Entradas[Status],X!$E$7,Entradas[Conta Financeira],X!$E$8,Entradas[Centro de Custos],X!$E$9)</f>
        <v>0</v>
      </c>
      <c r="L22" s="132">
        <f>SUMIFS(Entradas[Valores],Entradas[Data da Competência],"&gt;="&amp;L$7,Entradas[Data da Competência],"&lt;"&amp;EDATE(L$7,1),Entradas[Categoria],$B22,Entradas[Status],X!$E$7,Entradas[Conta Financeira],X!$E$8,Entradas[Centro de Custos],X!$E$9)</f>
        <v>0</v>
      </c>
      <c r="M22" s="132">
        <f>SUMIFS(Entradas[Valores],Entradas[Data da Competência],"&gt;="&amp;M$7,Entradas[Data da Competência],"&lt;"&amp;EDATE(M$7,1),Entradas[Categoria],$B22,Entradas[Status],X!$E$7,Entradas[Conta Financeira],X!$E$8,Entradas[Centro de Custos],X!$E$9)</f>
        <v>0</v>
      </c>
      <c r="N22" s="132">
        <f>SUMIFS(Entradas[Valores],Entradas[Data da Competência],"&gt;="&amp;N$7,Entradas[Data da Competência],"&lt;"&amp;EDATE(N$7,1),Entradas[Categoria],$B22,Entradas[Status],X!$E$7,Entradas[Conta Financeira],X!$E$8,Entradas[Centro de Custos],X!$E$9)</f>
        <v>0</v>
      </c>
      <c r="O22" s="175">
        <f t="shared" si="2"/>
        <v>0</v>
      </c>
      <c r="P22" s="9"/>
    </row>
    <row r="23">
      <c r="A23" s="9"/>
      <c r="B23" s="131" t="str">
        <f>X!V11</f>
        <v>Despesa Financeira</v>
      </c>
      <c r="C23" s="132">
        <f>SUMIFS(Saidas[Valores],Saidas[Data da Competência],"&gt;="&amp;C$7,Saidas[Data da Competência],"&lt;"&amp;EDATE(C$7,1),Saidas[Categoria],$B23,Saidas[Status],X!$E$7,Saidas[Conta Financeira],X!$E$8,Saidas[Centro de Custos],X!$E$9)</f>
        <v>0</v>
      </c>
      <c r="D23" s="132">
        <f>SUMIFS(Saidas[Valores],Saidas[Data da Competência],"&gt;="&amp;D$7,Saidas[Data da Competência],"&lt;"&amp;EDATE(D$7,1),Saidas[Categoria],$B23,Saidas[Status],X!$E$7,Saidas[Conta Financeira],X!$E$8,Saidas[Centro de Custos],X!$E$9)</f>
        <v>0</v>
      </c>
      <c r="E23" s="132">
        <f>SUMIFS(Saidas[Valores],Saidas[Data da Competência],"&gt;="&amp;E$7,Saidas[Data da Competência],"&lt;"&amp;EDATE(E$7,1),Saidas[Categoria],$B23,Saidas[Status],X!$E$7,Saidas[Conta Financeira],X!$E$8,Saidas[Centro de Custos],X!$E$9)</f>
        <v>0</v>
      </c>
      <c r="F23" s="132">
        <f>SUMIFS(Saidas[Valores],Saidas[Data da Competência],"&gt;="&amp;F$7,Saidas[Data da Competência],"&lt;"&amp;EDATE(F$7,1),Saidas[Categoria],$B23,Saidas[Status],X!$E$7,Saidas[Conta Financeira],X!$E$8,Saidas[Centro de Custos],X!$E$9)</f>
        <v>0</v>
      </c>
      <c r="G23" s="132">
        <f>SUMIFS(Saidas[Valores],Saidas[Data da Competência],"&gt;="&amp;G$7,Saidas[Data da Competência],"&lt;"&amp;EDATE(G$7,1),Saidas[Categoria],$B23,Saidas[Status],X!$E$7,Saidas[Conta Financeira],X!$E$8,Saidas[Centro de Custos],X!$E$9)</f>
        <v>0</v>
      </c>
      <c r="H23" s="132">
        <f>SUMIFS(Saidas[Valores],Saidas[Data da Competência],"&gt;="&amp;H$7,Saidas[Data da Competência],"&lt;"&amp;EDATE(H$7,1),Saidas[Categoria],$B23,Saidas[Status],X!$E$7,Saidas[Conta Financeira],X!$E$8,Saidas[Centro de Custos],X!$E$9)</f>
        <v>0</v>
      </c>
      <c r="I23" s="132">
        <f>SUMIFS(Saidas[Valores],Saidas[Data da Competência],"&gt;="&amp;I$7,Saidas[Data da Competência],"&lt;"&amp;EDATE(I$7,1),Saidas[Categoria],$B23,Saidas[Status],X!$E$7,Saidas[Conta Financeira],X!$E$8,Saidas[Centro de Custos],X!$E$9)</f>
        <v>0</v>
      </c>
      <c r="J23" s="132">
        <f>SUMIFS(Saidas[Valores],Saidas[Data da Competência],"&gt;="&amp;J$7,Saidas[Data da Competência],"&lt;"&amp;EDATE(J$7,1),Saidas[Categoria],$B23,Saidas[Status],X!$E$7,Saidas[Conta Financeira],X!$E$8,Saidas[Centro de Custos],X!$E$9)</f>
        <v>0</v>
      </c>
      <c r="K23" s="132">
        <f>SUMIFS(Saidas[Valores],Saidas[Data da Competência],"&gt;="&amp;K$7,Saidas[Data da Competência],"&lt;"&amp;EDATE(K$7,1),Saidas[Categoria],$B23,Saidas[Status],X!$E$7,Saidas[Conta Financeira],X!$E$8,Saidas[Centro de Custos],X!$E$9)</f>
        <v>0</v>
      </c>
      <c r="L23" s="132">
        <f>SUMIFS(Saidas[Valores],Saidas[Data da Competência],"&gt;="&amp;L$7,Saidas[Data da Competência],"&lt;"&amp;EDATE(L$7,1),Saidas[Categoria],$B23,Saidas[Status],X!$E$7,Saidas[Conta Financeira],X!$E$8,Saidas[Centro de Custos],X!$E$9)</f>
        <v>0</v>
      </c>
      <c r="M23" s="132">
        <f>SUMIFS(Saidas[Valores],Saidas[Data da Competência],"&gt;="&amp;M$7,Saidas[Data da Competência],"&lt;"&amp;EDATE(M$7,1),Saidas[Categoria],$B23,Saidas[Status],X!$E$7,Saidas[Conta Financeira],X!$E$8,Saidas[Centro de Custos],X!$E$9)</f>
        <v>0</v>
      </c>
      <c r="N23" s="132">
        <f>SUMIFS(Saidas[Valores],Saidas[Data da Competência],"&gt;="&amp;N$7,Saidas[Data da Competência],"&lt;"&amp;EDATE(N$7,1),Saidas[Categoria],$B23,Saidas[Status],X!$E$7,Saidas[Conta Financeira],X!$E$8,Saidas[Centro de Custos],X!$E$9)</f>
        <v>0</v>
      </c>
      <c r="O23" s="175">
        <f t="shared" si="2"/>
        <v>0</v>
      </c>
      <c r="P23" s="9"/>
    </row>
    <row r="24">
      <c r="A24" s="9"/>
      <c r="B24" s="131" t="str">
        <f>X!V5</f>
        <v>Receitas não operacionais</v>
      </c>
      <c r="C24" s="132">
        <f>SUMIFS(Entradas[Valores],Entradas[Data da Competência],"&gt;="&amp;C$7,Entradas[Data da Competência],"&lt;"&amp;EDATE(C$7,1),Entradas[Categoria],$B24,Entradas[Status],X!$E$7,Entradas[Conta Financeira],X!$E$8,Entradas[Centro de Custos],X!$E$9)</f>
        <v>0</v>
      </c>
      <c r="D24" s="132">
        <f>SUMIFS(Entradas[Valores],Entradas[Data da Competência],"&gt;="&amp;D$7,Entradas[Data da Competência],"&lt;"&amp;EDATE(D$7,1),Entradas[Categoria],$B24,Entradas[Status],X!$E$7,Entradas[Conta Financeira],X!$E$8,Entradas[Centro de Custos],X!$E$9)</f>
        <v>0</v>
      </c>
      <c r="E24" s="132">
        <f>SUMIFS(Entradas[Valores],Entradas[Data da Competência],"&gt;="&amp;E$7,Entradas[Data da Competência],"&lt;"&amp;EDATE(E$7,1),Entradas[Categoria],$B24,Entradas[Status],X!$E$7,Entradas[Conta Financeira],X!$E$8,Entradas[Centro de Custos],X!$E$9)</f>
        <v>0</v>
      </c>
      <c r="F24" s="132">
        <f>SUMIFS(Entradas[Valores],Entradas[Data da Competência],"&gt;="&amp;F$7,Entradas[Data da Competência],"&lt;"&amp;EDATE(F$7,1),Entradas[Categoria],$B24,Entradas[Status],X!$E$7,Entradas[Conta Financeira],X!$E$8,Entradas[Centro de Custos],X!$E$9)</f>
        <v>0</v>
      </c>
      <c r="G24" s="132">
        <f>SUMIFS(Entradas[Valores],Entradas[Data da Competência],"&gt;="&amp;G$7,Entradas[Data da Competência],"&lt;"&amp;EDATE(G$7,1),Entradas[Categoria],$B24,Entradas[Status],X!$E$7,Entradas[Conta Financeira],X!$E$8,Entradas[Centro de Custos],X!$E$9)</f>
        <v>0</v>
      </c>
      <c r="H24" s="132">
        <f>SUMIFS(Entradas[Valores],Entradas[Data da Competência],"&gt;="&amp;H$7,Entradas[Data da Competência],"&lt;"&amp;EDATE(H$7,1),Entradas[Categoria],$B24,Entradas[Status],X!$E$7,Entradas[Conta Financeira],X!$E$8,Entradas[Centro de Custos],X!$E$9)</f>
        <v>0</v>
      </c>
      <c r="I24" s="132">
        <f>SUMIFS(Entradas[Valores],Entradas[Data da Competência],"&gt;="&amp;I$7,Entradas[Data da Competência],"&lt;"&amp;EDATE(I$7,1),Entradas[Categoria],$B24,Entradas[Status],X!$E$7,Entradas[Conta Financeira],X!$E$8,Entradas[Centro de Custos],X!$E$9)</f>
        <v>0</v>
      </c>
      <c r="J24" s="132">
        <f>SUMIFS(Entradas[Valores],Entradas[Data da Competência],"&gt;="&amp;J$7,Entradas[Data da Competência],"&lt;"&amp;EDATE(J$7,1),Entradas[Categoria],$B24,Entradas[Status],X!$E$7,Entradas[Conta Financeira],X!$E$8,Entradas[Centro de Custos],X!$E$9)</f>
        <v>0</v>
      </c>
      <c r="K24" s="132">
        <f>SUMIFS(Entradas[Valores],Entradas[Data da Competência],"&gt;="&amp;K$7,Entradas[Data da Competência],"&lt;"&amp;EDATE(K$7,1),Entradas[Categoria],$B24,Entradas[Status],X!$E$7,Entradas[Conta Financeira],X!$E$8,Entradas[Centro de Custos],X!$E$9)</f>
        <v>0</v>
      </c>
      <c r="L24" s="132">
        <f>SUMIFS(Entradas[Valores],Entradas[Data da Competência],"&gt;="&amp;L$7,Entradas[Data da Competência],"&lt;"&amp;EDATE(L$7,1),Entradas[Categoria],$B24,Entradas[Status],X!$E$7,Entradas[Conta Financeira],X!$E$8,Entradas[Centro de Custos],X!$E$9)</f>
        <v>0</v>
      </c>
      <c r="M24" s="132">
        <f>SUMIFS(Entradas[Valores],Entradas[Data da Competência],"&gt;="&amp;M$7,Entradas[Data da Competência],"&lt;"&amp;EDATE(M$7,1),Entradas[Categoria],$B24,Entradas[Status],X!$E$7,Entradas[Conta Financeira],X!$E$8,Entradas[Centro de Custos],X!$E$9)</f>
        <v>10500</v>
      </c>
      <c r="N24" s="132">
        <f>SUMIFS(Entradas[Valores],Entradas[Data da Competência],"&gt;="&amp;N$7,Entradas[Data da Competência],"&lt;"&amp;EDATE(N$7,1),Entradas[Categoria],$B24,Entradas[Status],X!$E$7,Entradas[Conta Financeira],X!$E$8,Entradas[Centro de Custos],X!$E$9)</f>
        <v>0</v>
      </c>
      <c r="O24" s="132">
        <f t="shared" si="2"/>
        <v>10500</v>
      </c>
      <c r="P24" s="9"/>
    </row>
    <row r="25">
      <c r="A25" s="9"/>
      <c r="B25" s="131" t="str">
        <f>X!V12</f>
        <v>Despesas não operacionais</v>
      </c>
      <c r="C25" s="132">
        <f>SUMIFS(Saidas[Valores],Saidas[Data da Competência],"&gt;="&amp;C$7,Saidas[Data da Competência],"&lt;"&amp;EDATE(C$7,1),Saidas[Categoria],$B25,Saidas[Status],X!$E$7,Saidas[Conta Financeira],X!$E$8,Saidas[Centro de Custos],X!$E$9)</f>
        <v>0</v>
      </c>
      <c r="D25" s="132">
        <f>SUMIFS(Saidas[Valores],Saidas[Data da Competência],"&gt;="&amp;D$7,Saidas[Data da Competência],"&lt;"&amp;EDATE(D$7,1),Saidas[Categoria],$B25,Saidas[Status],X!$E$7,Saidas[Conta Financeira],X!$E$8,Saidas[Centro de Custos],X!$E$9)</f>
        <v>0</v>
      </c>
      <c r="E25" s="132">
        <f>SUMIFS(Saidas[Valores],Saidas[Data da Competência],"&gt;="&amp;E$7,Saidas[Data da Competência],"&lt;"&amp;EDATE(E$7,1),Saidas[Categoria],$B25,Saidas[Status],X!$E$7,Saidas[Conta Financeira],X!$E$8,Saidas[Centro de Custos],X!$E$9)</f>
        <v>0</v>
      </c>
      <c r="F25" s="132">
        <f>SUMIFS(Saidas[Valores],Saidas[Data da Competência],"&gt;="&amp;F$7,Saidas[Data da Competência],"&lt;"&amp;EDATE(F$7,1),Saidas[Categoria],$B25,Saidas[Status],X!$E$7,Saidas[Conta Financeira],X!$E$8,Saidas[Centro de Custos],X!$E$9)</f>
        <v>0</v>
      </c>
      <c r="G25" s="132">
        <f>SUMIFS(Saidas[Valores],Saidas[Data da Competência],"&gt;="&amp;G$7,Saidas[Data da Competência],"&lt;"&amp;EDATE(G$7,1),Saidas[Categoria],$B25,Saidas[Status],X!$E$7,Saidas[Conta Financeira],X!$E$8,Saidas[Centro de Custos],X!$E$9)</f>
        <v>0</v>
      </c>
      <c r="H25" s="132">
        <f>SUMIFS(Saidas[Valores],Saidas[Data da Competência],"&gt;="&amp;H$7,Saidas[Data da Competência],"&lt;"&amp;EDATE(H$7,1),Saidas[Categoria],$B25,Saidas[Status],X!$E$7,Saidas[Conta Financeira],X!$E$8,Saidas[Centro de Custos],X!$E$9)</f>
        <v>0</v>
      </c>
      <c r="I25" s="132">
        <f>SUMIFS(Saidas[Valores],Saidas[Data da Competência],"&gt;="&amp;I$7,Saidas[Data da Competência],"&lt;"&amp;EDATE(I$7,1),Saidas[Categoria],$B25,Saidas[Status],X!$E$7,Saidas[Conta Financeira],X!$E$8,Saidas[Centro de Custos],X!$E$9)</f>
        <v>0</v>
      </c>
      <c r="J25" s="132">
        <f>SUMIFS(Saidas[Valores],Saidas[Data da Competência],"&gt;="&amp;J$7,Saidas[Data da Competência],"&lt;"&amp;EDATE(J$7,1),Saidas[Categoria],$B25,Saidas[Status],X!$E$7,Saidas[Conta Financeira],X!$E$8,Saidas[Centro de Custos],X!$E$9)</f>
        <v>0</v>
      </c>
      <c r="K25" s="132">
        <f>SUMIFS(Saidas[Valores],Saidas[Data da Competência],"&gt;="&amp;K$7,Saidas[Data da Competência],"&lt;"&amp;EDATE(K$7,1),Saidas[Categoria],$B25,Saidas[Status],X!$E$7,Saidas[Conta Financeira],X!$E$8,Saidas[Centro de Custos],X!$E$9)</f>
        <v>0</v>
      </c>
      <c r="L25" s="132">
        <f>SUMIFS(Saidas[Valores],Saidas[Data da Competência],"&gt;="&amp;L$7,Saidas[Data da Competência],"&lt;"&amp;EDATE(L$7,1),Saidas[Categoria],$B25,Saidas[Status],X!$E$7,Saidas[Conta Financeira],X!$E$8,Saidas[Centro de Custos],X!$E$9)</f>
        <v>0</v>
      </c>
      <c r="M25" s="132">
        <f>SUMIFS(Saidas[Valores],Saidas[Data da Competência],"&gt;="&amp;M$7,Saidas[Data da Competência],"&lt;"&amp;EDATE(M$7,1),Saidas[Categoria],$B25,Saidas[Status],X!$E$7,Saidas[Conta Financeira],X!$E$8,Saidas[Centro de Custos],X!$E$9)</f>
        <v>35000</v>
      </c>
      <c r="N25" s="132">
        <f>SUMIFS(Saidas[Valores],Saidas[Data da Competência],"&gt;="&amp;N$7,Saidas[Data da Competência],"&lt;"&amp;EDATE(N$7,1),Saidas[Categoria],$B25,Saidas[Status],X!$E$7,Saidas[Conta Financeira],X!$E$8,Saidas[Centro de Custos],X!$E$9)</f>
        <v>0</v>
      </c>
      <c r="O25" s="306">
        <f t="shared" si="2"/>
        <v>35000</v>
      </c>
      <c r="P25" s="9"/>
    </row>
    <row r="26">
      <c r="A26" s="9"/>
      <c r="B26" s="141" t="s">
        <v>219</v>
      </c>
      <c r="C26" s="217">
        <f t="shared" ref="C26:N26" si="7">C21+C22-C23+C24-C25</f>
        <v>0</v>
      </c>
      <c r="D26" s="217">
        <f t="shared" si="7"/>
        <v>0</v>
      </c>
      <c r="E26" s="217">
        <f t="shared" si="7"/>
        <v>0</v>
      </c>
      <c r="F26" s="217">
        <f t="shared" si="7"/>
        <v>0</v>
      </c>
      <c r="G26" s="217">
        <f t="shared" si="7"/>
        <v>0</v>
      </c>
      <c r="H26" s="217">
        <f t="shared" si="7"/>
        <v>0</v>
      </c>
      <c r="I26" s="217">
        <f t="shared" si="7"/>
        <v>0</v>
      </c>
      <c r="J26" s="217">
        <f t="shared" si="7"/>
        <v>0</v>
      </c>
      <c r="K26" s="217">
        <f t="shared" si="7"/>
        <v>0</v>
      </c>
      <c r="L26" s="217">
        <f t="shared" si="7"/>
        <v>0</v>
      </c>
      <c r="M26" s="217">
        <f t="shared" si="7"/>
        <v>-27188</v>
      </c>
      <c r="N26" s="217">
        <f t="shared" si="7"/>
        <v>5350</v>
      </c>
      <c r="O26" s="218">
        <f t="shared" si="2"/>
        <v>-21838</v>
      </c>
      <c r="P26" s="9"/>
    </row>
    <row r="27">
      <c r="A27" s="9"/>
      <c r="B27" s="131" t="str">
        <f>X!V14</f>
        <v>Participação e Dividendos</v>
      </c>
      <c r="C27" s="132">
        <f>SUMIFS(Saidas[Valores],Saidas[Data da Competência],"&gt;="&amp;C$7,Saidas[Data da Competência],"&lt;"&amp;EDATE(C$7,1),Saidas[Categoria],$B27,Saidas[Status],X!$E$7,Saidas[Conta Financeira],X!$E$8,Saidas[Centro de Custos],X!$E$9)</f>
        <v>0</v>
      </c>
      <c r="D27" s="132">
        <f>SUMIFS(Saidas[Valores],Saidas[Data da Competência],"&gt;="&amp;D$7,Saidas[Data da Competência],"&lt;"&amp;EDATE(D$7,1),Saidas[Categoria],$B27,Saidas[Status],X!$E$7,Saidas[Conta Financeira],X!$E$8,Saidas[Centro de Custos],X!$E$9)</f>
        <v>0</v>
      </c>
      <c r="E27" s="132">
        <f>SUMIFS(Saidas[Valores],Saidas[Data da Competência],"&gt;="&amp;E$7,Saidas[Data da Competência],"&lt;"&amp;EDATE(E$7,1),Saidas[Categoria],$B27,Saidas[Status],X!$E$7,Saidas[Conta Financeira],X!$E$8,Saidas[Centro de Custos],X!$E$9)</f>
        <v>0</v>
      </c>
      <c r="F27" s="132">
        <f>SUMIFS(Saidas[Valores],Saidas[Data da Competência],"&gt;="&amp;F$7,Saidas[Data da Competência],"&lt;"&amp;EDATE(F$7,1),Saidas[Categoria],$B27,Saidas[Status],X!$E$7,Saidas[Conta Financeira],X!$E$8,Saidas[Centro de Custos],X!$E$9)</f>
        <v>0</v>
      </c>
      <c r="G27" s="132">
        <f>SUMIFS(Saidas[Valores],Saidas[Data da Competência],"&gt;="&amp;G$7,Saidas[Data da Competência],"&lt;"&amp;EDATE(G$7,1),Saidas[Categoria],$B27,Saidas[Status],X!$E$7,Saidas[Conta Financeira],X!$E$8,Saidas[Centro de Custos],X!$E$9)</f>
        <v>0</v>
      </c>
      <c r="H27" s="132">
        <f>SUMIFS(Saidas[Valores],Saidas[Data da Competência],"&gt;="&amp;H$7,Saidas[Data da Competência],"&lt;"&amp;EDATE(H$7,1),Saidas[Categoria],$B27,Saidas[Status],X!$E$7,Saidas[Conta Financeira],X!$E$8,Saidas[Centro de Custos],X!$E$9)</f>
        <v>0</v>
      </c>
      <c r="I27" s="132">
        <f>SUMIFS(Saidas[Valores],Saidas[Data da Competência],"&gt;="&amp;I$7,Saidas[Data da Competência],"&lt;"&amp;EDATE(I$7,1),Saidas[Categoria],$B27,Saidas[Status],X!$E$7,Saidas[Conta Financeira],X!$E$8,Saidas[Centro de Custos],X!$E$9)</f>
        <v>0</v>
      </c>
      <c r="J27" s="132">
        <f>SUMIFS(Saidas[Valores],Saidas[Data da Competência],"&gt;="&amp;J$7,Saidas[Data da Competência],"&lt;"&amp;EDATE(J$7,1),Saidas[Categoria],$B27,Saidas[Status],X!$E$7,Saidas[Conta Financeira],X!$E$8,Saidas[Centro de Custos],X!$E$9)</f>
        <v>0</v>
      </c>
      <c r="K27" s="132">
        <f>SUMIFS(Saidas[Valores],Saidas[Data da Competência],"&gt;="&amp;K$7,Saidas[Data da Competência],"&lt;"&amp;EDATE(K$7,1),Saidas[Categoria],$B27,Saidas[Status],X!$E$7,Saidas[Conta Financeira],X!$E$8,Saidas[Centro de Custos],X!$E$9)</f>
        <v>0</v>
      </c>
      <c r="L27" s="132">
        <f>SUMIFS(Saidas[Valores],Saidas[Data da Competência],"&gt;="&amp;L$7,Saidas[Data da Competência],"&lt;"&amp;EDATE(L$7,1),Saidas[Categoria],$B27,Saidas[Status],X!$E$7,Saidas[Conta Financeira],X!$E$8,Saidas[Centro de Custos],X!$E$9)</f>
        <v>0</v>
      </c>
      <c r="M27" s="132">
        <f>SUMIFS(Saidas[Valores],Saidas[Data da Competência],"&gt;="&amp;M$7,Saidas[Data da Competência],"&lt;"&amp;EDATE(M$7,1),Saidas[Categoria],$B27,Saidas[Status],X!$E$7,Saidas[Conta Financeira],X!$E$8,Saidas[Centro de Custos],X!$E$9)</f>
        <v>0</v>
      </c>
      <c r="N27" s="132">
        <f>SUMIFS(Saidas[Valores],Saidas[Data da Competência],"&gt;="&amp;N$7,Saidas[Data da Competência],"&lt;"&amp;EDATE(N$7,1),Saidas[Categoria],$B27,Saidas[Status],X!$E$7,Saidas[Conta Financeira],X!$E$8,Saidas[Centro de Custos],X!$E$9)</f>
        <v>0</v>
      </c>
      <c r="O27" s="175">
        <f t="shared" si="2"/>
        <v>0</v>
      </c>
      <c r="P27" s="9"/>
    </row>
    <row r="28">
      <c r="A28" s="9"/>
      <c r="B28" s="190" t="s">
        <v>220</v>
      </c>
      <c r="C28" s="313">
        <f t="shared" ref="C28:N28" si="8">C26-C27</f>
        <v>0</v>
      </c>
      <c r="D28" s="313">
        <f t="shared" si="8"/>
        <v>0</v>
      </c>
      <c r="E28" s="313">
        <f t="shared" si="8"/>
        <v>0</v>
      </c>
      <c r="F28" s="313">
        <f t="shared" si="8"/>
        <v>0</v>
      </c>
      <c r="G28" s="313">
        <f t="shared" si="8"/>
        <v>0</v>
      </c>
      <c r="H28" s="313">
        <f t="shared" si="8"/>
        <v>0</v>
      </c>
      <c r="I28" s="313">
        <f t="shared" si="8"/>
        <v>0</v>
      </c>
      <c r="J28" s="313">
        <f t="shared" si="8"/>
        <v>0</v>
      </c>
      <c r="K28" s="313">
        <f t="shared" si="8"/>
        <v>0</v>
      </c>
      <c r="L28" s="313">
        <f t="shared" si="8"/>
        <v>0</v>
      </c>
      <c r="M28" s="313">
        <f t="shared" si="8"/>
        <v>-27188</v>
      </c>
      <c r="N28" s="313">
        <f t="shared" si="8"/>
        <v>5350</v>
      </c>
      <c r="O28" s="314">
        <f t="shared" si="2"/>
        <v>-21838</v>
      </c>
      <c r="P28" s="109"/>
    </row>
    <row r="29">
      <c r="A29" s="9"/>
      <c r="B29" s="109"/>
      <c r="C29" s="210"/>
      <c r="D29" s="210"/>
      <c r="E29" s="210"/>
      <c r="F29" s="210"/>
      <c r="G29" s="210"/>
      <c r="H29" s="210"/>
      <c r="I29" s="210"/>
      <c r="J29" s="210"/>
      <c r="K29" s="210"/>
      <c r="L29" s="210"/>
      <c r="M29" s="210"/>
      <c r="N29" s="210"/>
      <c r="O29" s="210"/>
      <c r="P29" s="109"/>
    </row>
    <row r="30">
      <c r="A30" s="9"/>
      <c r="B30" s="9"/>
      <c r="C30" s="211"/>
      <c r="D30" s="211"/>
      <c r="E30" s="211"/>
      <c r="F30" s="211"/>
      <c r="G30" s="211"/>
      <c r="H30" s="211"/>
      <c r="I30" s="211"/>
      <c r="J30" s="211"/>
      <c r="K30" s="211"/>
      <c r="L30" s="211"/>
      <c r="M30" s="211"/>
      <c r="N30" s="211"/>
      <c r="O30" s="211"/>
      <c r="P30" s="9"/>
    </row>
    <row r="31" ht="23.25" customHeight="1">
      <c r="A31" s="315"/>
      <c r="B31" s="316" t="s">
        <v>25</v>
      </c>
      <c r="C31" s="315"/>
      <c r="D31" s="315"/>
      <c r="E31" s="315"/>
      <c r="F31" s="315"/>
      <c r="G31" s="315"/>
      <c r="H31" s="315"/>
      <c r="I31" s="315"/>
      <c r="J31" s="315"/>
      <c r="K31" s="315"/>
      <c r="L31" s="315"/>
      <c r="M31" s="315"/>
      <c r="N31" s="315"/>
      <c r="O31" s="315"/>
      <c r="P31" s="315"/>
      <c r="Q31" s="315"/>
      <c r="R31" s="315"/>
      <c r="S31" s="315"/>
      <c r="T31" s="315"/>
      <c r="U31" s="315"/>
      <c r="V31" s="315"/>
      <c r="W31" s="315"/>
      <c r="X31" s="315"/>
      <c r="Y31" s="315"/>
      <c r="Z31" s="315"/>
    </row>
    <row r="32">
      <c r="B32" s="141" t="s">
        <v>273</v>
      </c>
      <c r="C32" s="217">
        <f t="shared" ref="C32:O32" si="9">SUM(C33:C500)</f>
        <v>0</v>
      </c>
      <c r="D32" s="217">
        <f t="shared" si="9"/>
        <v>0</v>
      </c>
      <c r="E32" s="217">
        <f t="shared" si="9"/>
        <v>0</v>
      </c>
      <c r="F32" s="217">
        <f t="shared" si="9"/>
        <v>0</v>
      </c>
      <c r="G32" s="217">
        <f t="shared" si="9"/>
        <v>0</v>
      </c>
      <c r="H32" s="217">
        <f t="shared" si="9"/>
        <v>0</v>
      </c>
      <c r="I32" s="217">
        <f t="shared" si="9"/>
        <v>0</v>
      </c>
      <c r="J32" s="217">
        <f t="shared" si="9"/>
        <v>0</v>
      </c>
      <c r="K32" s="217">
        <f t="shared" si="9"/>
        <v>0</v>
      </c>
      <c r="L32" s="217">
        <f t="shared" si="9"/>
        <v>0</v>
      </c>
      <c r="M32" s="217">
        <f t="shared" si="9"/>
        <v>35000</v>
      </c>
      <c r="N32" s="217">
        <f t="shared" si="9"/>
        <v>0</v>
      </c>
      <c r="O32" s="218">
        <f t="shared" si="9"/>
        <v>35000</v>
      </c>
    </row>
    <row r="33">
      <c r="B33" s="131" t="str">
        <f>IFERROR(__xludf.DUMMYFUNCTION("IF($B$31="""","""",
  FILTER(
    INDEX('Plano de Contas'!$A$5:$Z$200,, MATCH($B$31,'Plano de Contas'!$A$4:$Z$4,0)),
    INDEX('Plano de Contas'!$A$5:$Z$200,, MATCH($B$31,'Plano de Contas'!$A$4:$Z$4,0))&lt;&gt;""""
  )
)"),"Financiamento")</f>
        <v>Financiamento</v>
      </c>
      <c r="C33" s="132">
        <f>SUMIFS(Saidas[Valores],Saidas[Data da Competência],"&gt;="&amp;C$7,Saidas[Data da Competência],"&lt;"&amp;EDATE(C$7,1),Saidas[Classificação],$B33,Saidas[Status],X!$E$7,Saidas[Conta Financeira],X!$E$8,Saidas[Centro de Custos],X!$E$9)</f>
        <v>0</v>
      </c>
      <c r="D33" s="132">
        <f>SUMIFS(Saidas[Valores],Saidas[Data da Competência],"&gt;="&amp;D$7,Saidas[Data da Competência],"&lt;"&amp;EDATE(D$7,1),Saidas[Classificação],$B33,Saidas[Status],X!$E$7,Saidas[Conta Financeira],X!$E$8,Saidas[Centro de Custos],X!$E$9)</f>
        <v>0</v>
      </c>
      <c r="E33" s="132">
        <f>SUMIFS(Saidas[Valores],Saidas[Data da Competência],"&gt;="&amp;E$7,Saidas[Data da Competência],"&lt;"&amp;EDATE(E$7,1),Saidas[Classificação],$B33,Saidas[Status],X!$E$7,Saidas[Conta Financeira],X!$E$8,Saidas[Centro de Custos],X!$E$9)</f>
        <v>0</v>
      </c>
      <c r="F33" s="132">
        <f>SUMIFS(Saidas[Valores],Saidas[Data da Competência],"&gt;="&amp;F$7,Saidas[Data da Competência],"&lt;"&amp;EDATE(F$7,1),Saidas[Classificação],$B33,Saidas[Status],X!$E$7,Saidas[Conta Financeira],X!$E$8,Saidas[Centro de Custos],X!$E$9)</f>
        <v>0</v>
      </c>
      <c r="G33" s="132">
        <f>SUMIFS(Saidas[Valores],Saidas[Data da Competência],"&gt;="&amp;G$7,Saidas[Data da Competência],"&lt;"&amp;EDATE(G$7,1),Saidas[Classificação],$B33,Saidas[Status],X!$E$7,Saidas[Conta Financeira],X!$E$8,Saidas[Centro de Custos],X!$E$9)</f>
        <v>0</v>
      </c>
      <c r="H33" s="132">
        <f>SUMIFS(Saidas[Valores],Saidas[Data da Competência],"&gt;="&amp;H$7,Saidas[Data da Competência],"&lt;"&amp;EDATE(H$7,1),Saidas[Classificação],$B33,Saidas[Status],X!$E$7,Saidas[Conta Financeira],X!$E$8,Saidas[Centro de Custos],X!$E$9)</f>
        <v>0</v>
      </c>
      <c r="I33" s="132">
        <f>SUMIFS(Saidas[Valores],Saidas[Data da Competência],"&gt;="&amp;I$7,Saidas[Data da Competência],"&lt;"&amp;EDATE(I$7,1),Saidas[Classificação],$B33,Saidas[Status],X!$E$7,Saidas[Conta Financeira],X!$E$8,Saidas[Centro de Custos],X!$E$9)</f>
        <v>0</v>
      </c>
      <c r="J33" s="132">
        <f>SUMIFS(Saidas[Valores],Saidas[Data da Competência],"&gt;="&amp;J$7,Saidas[Data da Competência],"&lt;"&amp;EDATE(J$7,1),Saidas[Classificação],$B33,Saidas[Status],X!$E$7,Saidas[Conta Financeira],X!$E$8,Saidas[Centro de Custos],X!$E$9)</f>
        <v>0</v>
      </c>
      <c r="K33" s="132">
        <f>SUMIFS(Saidas[Valores],Saidas[Data da Competência],"&gt;="&amp;K$7,Saidas[Data da Competência],"&lt;"&amp;EDATE(K$7,1),Saidas[Classificação],$B33,Saidas[Status],X!$E$7,Saidas[Conta Financeira],X!$E$8,Saidas[Centro de Custos],X!$E$9)</f>
        <v>0</v>
      </c>
      <c r="L33" s="132">
        <f>SUMIFS(Saidas[Valores],Saidas[Data da Competência],"&gt;="&amp;L$7,Saidas[Data da Competência],"&lt;"&amp;EDATE(L$7,1),Saidas[Classificação],$B33,Saidas[Status],X!$E$7,Saidas[Conta Financeira],X!$E$8,Saidas[Centro de Custos],X!$E$9)</f>
        <v>0</v>
      </c>
      <c r="M33" s="132">
        <f>SUMIFS(Saidas[Valores],Saidas[Data da Competência],"&gt;="&amp;M$7,Saidas[Data da Competência],"&lt;"&amp;EDATE(M$7,1),Saidas[Classificação],$B33,Saidas[Status],X!$E$7,Saidas[Conta Financeira],X!$E$8,Saidas[Centro de Custos],X!$E$9)</f>
        <v>0</v>
      </c>
      <c r="N33" s="132">
        <f>SUMIFS(Saidas[Valores],Saidas[Data da Competência],"&gt;="&amp;N$7,Saidas[Data da Competência],"&lt;"&amp;EDATE(N$7,1),Saidas[Classificação],$B33,Saidas[Status],X!$E$7,Saidas[Conta Financeira],X!$E$8,Saidas[Centro de Custos],X!$E$9)</f>
        <v>0</v>
      </c>
      <c r="O33" s="175">
        <f t="shared" ref="O33:O55" si="10">SUM(C33:N33)</f>
        <v>0</v>
      </c>
    </row>
    <row r="34">
      <c r="B34" s="131" t="str">
        <f>IFERROR(__xludf.DUMMYFUNCTION("""COMPUTED_VALUE"""),"Gastos Não Identificados")</f>
        <v>Gastos Não Identificados</v>
      </c>
      <c r="C34" s="132">
        <f>SUMIFS(Saidas[Valores],Saidas[Data da Competência],"&gt;="&amp;C$7,Saidas[Data da Competência],"&lt;"&amp;EDATE(C$7,1),Saidas[Classificação],$B34,Saidas[Status],X!$E$7,Saidas[Conta Financeira],X!$E$8,Saidas[Centro de Custos],X!$E$9)</f>
        <v>0</v>
      </c>
      <c r="D34" s="132">
        <f>SUMIFS(Saidas[Valores],Saidas[Data da Competência],"&gt;="&amp;D$7,Saidas[Data da Competência],"&lt;"&amp;EDATE(D$7,1),Saidas[Classificação],$B34,Saidas[Status],X!$E$7,Saidas[Conta Financeira],X!$E$8,Saidas[Centro de Custos],X!$E$9)</f>
        <v>0</v>
      </c>
      <c r="E34" s="132">
        <f>SUMIFS(Saidas[Valores],Saidas[Data da Competência],"&gt;="&amp;E$7,Saidas[Data da Competência],"&lt;"&amp;EDATE(E$7,1),Saidas[Classificação],$B34,Saidas[Status],X!$E$7,Saidas[Conta Financeira],X!$E$8,Saidas[Centro de Custos],X!$E$9)</f>
        <v>0</v>
      </c>
      <c r="F34" s="132">
        <f>SUMIFS(Saidas[Valores],Saidas[Data da Competência],"&gt;="&amp;F$7,Saidas[Data da Competência],"&lt;"&amp;EDATE(F$7,1),Saidas[Classificação],$B34,Saidas[Status],X!$E$7,Saidas[Conta Financeira],X!$E$8,Saidas[Centro de Custos],X!$E$9)</f>
        <v>0</v>
      </c>
      <c r="G34" s="132">
        <f>SUMIFS(Saidas[Valores],Saidas[Data da Competência],"&gt;="&amp;G$7,Saidas[Data da Competência],"&lt;"&amp;EDATE(G$7,1),Saidas[Classificação],$B34,Saidas[Status],X!$E$7,Saidas[Conta Financeira],X!$E$8,Saidas[Centro de Custos],X!$E$9)</f>
        <v>0</v>
      </c>
      <c r="H34" s="132">
        <f>SUMIFS(Saidas[Valores],Saidas[Data da Competência],"&gt;="&amp;H$7,Saidas[Data da Competência],"&lt;"&amp;EDATE(H$7,1),Saidas[Classificação],$B34,Saidas[Status],X!$E$7,Saidas[Conta Financeira],X!$E$8,Saidas[Centro de Custos],X!$E$9)</f>
        <v>0</v>
      </c>
      <c r="I34" s="132">
        <f>SUMIFS(Saidas[Valores],Saidas[Data da Competência],"&gt;="&amp;I$7,Saidas[Data da Competência],"&lt;"&amp;EDATE(I$7,1),Saidas[Classificação],$B34,Saidas[Status],X!$E$7,Saidas[Conta Financeira],X!$E$8,Saidas[Centro de Custos],X!$E$9)</f>
        <v>0</v>
      </c>
      <c r="J34" s="132">
        <f>SUMIFS(Saidas[Valores],Saidas[Data da Competência],"&gt;="&amp;J$7,Saidas[Data da Competência],"&lt;"&amp;EDATE(J$7,1),Saidas[Classificação],$B34,Saidas[Status],X!$E$7,Saidas[Conta Financeira],X!$E$8,Saidas[Centro de Custos],X!$E$9)</f>
        <v>0</v>
      </c>
      <c r="K34" s="132">
        <f>SUMIFS(Saidas[Valores],Saidas[Data da Competência],"&gt;="&amp;K$7,Saidas[Data da Competência],"&lt;"&amp;EDATE(K$7,1),Saidas[Classificação],$B34,Saidas[Status],X!$E$7,Saidas[Conta Financeira],X!$E$8,Saidas[Centro de Custos],X!$E$9)</f>
        <v>0</v>
      </c>
      <c r="L34" s="132">
        <f>SUMIFS(Saidas[Valores],Saidas[Data da Competência],"&gt;="&amp;L$7,Saidas[Data da Competência],"&lt;"&amp;EDATE(L$7,1),Saidas[Classificação],$B34,Saidas[Status],X!$E$7,Saidas[Conta Financeira],X!$E$8,Saidas[Centro de Custos],X!$E$9)</f>
        <v>0</v>
      </c>
      <c r="M34" s="132">
        <f>SUMIFS(Saidas[Valores],Saidas[Data da Competência],"&gt;="&amp;M$7,Saidas[Data da Competência],"&lt;"&amp;EDATE(M$7,1),Saidas[Classificação],$B34,Saidas[Status],X!$E$7,Saidas[Conta Financeira],X!$E$8,Saidas[Centro de Custos],X!$E$9)</f>
        <v>0</v>
      </c>
      <c r="N34" s="132">
        <f>SUMIFS(Saidas[Valores],Saidas[Data da Competência],"&gt;="&amp;N$7,Saidas[Data da Competência],"&lt;"&amp;EDATE(N$7,1),Saidas[Classificação],$B34,Saidas[Status],X!$E$7,Saidas[Conta Financeira],X!$E$8,Saidas[Centro de Custos],X!$E$9)</f>
        <v>0</v>
      </c>
      <c r="O34" s="175">
        <f t="shared" si="10"/>
        <v>0</v>
      </c>
    </row>
    <row r="35">
      <c r="B35" s="131" t="str">
        <f>IFERROR(__xludf.DUMMYFUNCTION("""COMPUTED_VALUE"""),"Investimento em Patrimonio")</f>
        <v>Investimento em Patrimonio</v>
      </c>
      <c r="C35" s="132">
        <f>SUMIFS(Saidas[Valores],Saidas[Data da Competência],"&gt;="&amp;C$7,Saidas[Data da Competência],"&lt;"&amp;EDATE(C$7,1),Saidas[Classificação],$B35,Saidas[Status],X!$E$7,Saidas[Conta Financeira],X!$E$8,Saidas[Centro de Custos],X!$E$9)</f>
        <v>0</v>
      </c>
      <c r="D35" s="132">
        <f>SUMIFS(Saidas[Valores],Saidas[Data da Competência],"&gt;="&amp;D$7,Saidas[Data da Competência],"&lt;"&amp;EDATE(D$7,1),Saidas[Classificação],$B35,Saidas[Status],X!$E$7,Saidas[Conta Financeira],X!$E$8,Saidas[Centro de Custos],X!$E$9)</f>
        <v>0</v>
      </c>
      <c r="E35" s="132">
        <f>SUMIFS(Saidas[Valores],Saidas[Data da Competência],"&gt;="&amp;E$7,Saidas[Data da Competência],"&lt;"&amp;EDATE(E$7,1),Saidas[Classificação],$B35,Saidas[Status],X!$E$7,Saidas[Conta Financeira],X!$E$8,Saidas[Centro de Custos],X!$E$9)</f>
        <v>0</v>
      </c>
      <c r="F35" s="132">
        <f>SUMIFS(Saidas[Valores],Saidas[Data da Competência],"&gt;="&amp;F$7,Saidas[Data da Competência],"&lt;"&amp;EDATE(F$7,1),Saidas[Classificação],$B35,Saidas[Status],X!$E$7,Saidas[Conta Financeira],X!$E$8,Saidas[Centro de Custos],X!$E$9)</f>
        <v>0</v>
      </c>
      <c r="G35" s="132">
        <f>SUMIFS(Saidas[Valores],Saidas[Data da Competência],"&gt;="&amp;G$7,Saidas[Data da Competência],"&lt;"&amp;EDATE(G$7,1),Saidas[Classificação],$B35,Saidas[Status],X!$E$7,Saidas[Conta Financeira],X!$E$8,Saidas[Centro de Custos],X!$E$9)</f>
        <v>0</v>
      </c>
      <c r="H35" s="132">
        <f>SUMIFS(Saidas[Valores],Saidas[Data da Competência],"&gt;="&amp;H$7,Saidas[Data da Competência],"&lt;"&amp;EDATE(H$7,1),Saidas[Classificação],$B35,Saidas[Status],X!$E$7,Saidas[Conta Financeira],X!$E$8,Saidas[Centro de Custos],X!$E$9)</f>
        <v>0</v>
      </c>
      <c r="I35" s="132">
        <f>SUMIFS(Saidas[Valores],Saidas[Data da Competência],"&gt;="&amp;I$7,Saidas[Data da Competência],"&lt;"&amp;EDATE(I$7,1),Saidas[Classificação],$B35,Saidas[Status],X!$E$7,Saidas[Conta Financeira],X!$E$8,Saidas[Centro de Custos],X!$E$9)</f>
        <v>0</v>
      </c>
      <c r="J35" s="132">
        <f>SUMIFS(Saidas[Valores],Saidas[Data da Competência],"&gt;="&amp;J$7,Saidas[Data da Competência],"&lt;"&amp;EDATE(J$7,1),Saidas[Classificação],$B35,Saidas[Status],X!$E$7,Saidas[Conta Financeira],X!$E$8,Saidas[Centro de Custos],X!$E$9)</f>
        <v>0</v>
      </c>
      <c r="K35" s="132">
        <f>SUMIFS(Saidas[Valores],Saidas[Data da Competência],"&gt;="&amp;K$7,Saidas[Data da Competência],"&lt;"&amp;EDATE(K$7,1),Saidas[Classificação],$B35,Saidas[Status],X!$E$7,Saidas[Conta Financeira],X!$E$8,Saidas[Centro de Custos],X!$E$9)</f>
        <v>0</v>
      </c>
      <c r="L35" s="132">
        <f>SUMIFS(Saidas[Valores],Saidas[Data da Competência],"&gt;="&amp;L$7,Saidas[Data da Competência],"&lt;"&amp;EDATE(L$7,1),Saidas[Classificação],$B35,Saidas[Status],X!$E$7,Saidas[Conta Financeira],X!$E$8,Saidas[Centro de Custos],X!$E$9)</f>
        <v>0</v>
      </c>
      <c r="M35" s="132">
        <f>SUMIFS(Saidas[Valores],Saidas[Data da Competência],"&gt;="&amp;M$7,Saidas[Data da Competência],"&lt;"&amp;EDATE(M$7,1),Saidas[Classificação],$B35,Saidas[Status],X!$E$7,Saidas[Conta Financeira],X!$E$8,Saidas[Centro de Custos],X!$E$9)</f>
        <v>35000</v>
      </c>
      <c r="N35" s="132">
        <f>SUMIFS(Saidas[Valores],Saidas[Data da Competência],"&gt;="&amp;N$7,Saidas[Data da Competência],"&lt;"&amp;EDATE(N$7,1),Saidas[Classificação],$B35,Saidas[Status],X!$E$7,Saidas[Conta Financeira],X!$E$8,Saidas[Centro de Custos],X!$E$9)</f>
        <v>0</v>
      </c>
      <c r="O35" s="175">
        <f t="shared" si="10"/>
        <v>35000</v>
      </c>
    </row>
    <row r="36">
      <c r="B36" s="131" t="str">
        <f>IFERROR(__xludf.DUMMYFUNCTION("""COMPUTED_VALUE"""),"Combustível")</f>
        <v>Combustível</v>
      </c>
      <c r="C36" s="132">
        <f>SUMIFS(Saidas[Valores],Saidas[Data da Competência],"&gt;="&amp;C$7,Saidas[Data da Competência],"&lt;"&amp;EDATE(C$7,1),Saidas[Classificação],$B36,Saidas[Status],X!$E$7,Saidas[Conta Financeira],X!$E$8,Saidas[Centro de Custos],X!$E$9)</f>
        <v>0</v>
      </c>
      <c r="D36" s="132">
        <f>SUMIFS(Saidas[Valores],Saidas[Data da Competência],"&gt;="&amp;D$7,Saidas[Data da Competência],"&lt;"&amp;EDATE(D$7,1),Saidas[Classificação],$B36,Saidas[Status],X!$E$7,Saidas[Conta Financeira],X!$E$8,Saidas[Centro de Custos],X!$E$9)</f>
        <v>0</v>
      </c>
      <c r="E36" s="132">
        <f>SUMIFS(Saidas[Valores],Saidas[Data da Competência],"&gt;="&amp;E$7,Saidas[Data da Competência],"&lt;"&amp;EDATE(E$7,1),Saidas[Classificação],$B36,Saidas[Status],X!$E$7,Saidas[Conta Financeira],X!$E$8,Saidas[Centro de Custos],X!$E$9)</f>
        <v>0</v>
      </c>
      <c r="F36" s="132">
        <f>SUMIFS(Saidas[Valores],Saidas[Data da Competência],"&gt;="&amp;F$7,Saidas[Data da Competência],"&lt;"&amp;EDATE(F$7,1),Saidas[Classificação],$B36,Saidas[Status],X!$E$7,Saidas[Conta Financeira],X!$E$8,Saidas[Centro de Custos],X!$E$9)</f>
        <v>0</v>
      </c>
      <c r="G36" s="132">
        <f>SUMIFS(Saidas[Valores],Saidas[Data da Competência],"&gt;="&amp;G$7,Saidas[Data da Competência],"&lt;"&amp;EDATE(G$7,1),Saidas[Classificação],$B36,Saidas[Status],X!$E$7,Saidas[Conta Financeira],X!$E$8,Saidas[Centro de Custos],X!$E$9)</f>
        <v>0</v>
      </c>
      <c r="H36" s="132">
        <f>SUMIFS(Saidas[Valores],Saidas[Data da Competência],"&gt;="&amp;H$7,Saidas[Data da Competência],"&lt;"&amp;EDATE(H$7,1),Saidas[Classificação],$B36,Saidas[Status],X!$E$7,Saidas[Conta Financeira],X!$E$8,Saidas[Centro de Custos],X!$E$9)</f>
        <v>0</v>
      </c>
      <c r="I36" s="132">
        <f>SUMIFS(Saidas[Valores],Saidas[Data da Competência],"&gt;="&amp;I$7,Saidas[Data da Competência],"&lt;"&amp;EDATE(I$7,1),Saidas[Classificação],$B36,Saidas[Status],X!$E$7,Saidas[Conta Financeira],X!$E$8,Saidas[Centro de Custos],X!$E$9)</f>
        <v>0</v>
      </c>
      <c r="J36" s="132">
        <f>SUMIFS(Saidas[Valores],Saidas[Data da Competência],"&gt;="&amp;J$7,Saidas[Data da Competência],"&lt;"&amp;EDATE(J$7,1),Saidas[Classificação],$B36,Saidas[Status],X!$E$7,Saidas[Conta Financeira],X!$E$8,Saidas[Centro de Custos],X!$E$9)</f>
        <v>0</v>
      </c>
      <c r="K36" s="132">
        <f>SUMIFS(Saidas[Valores],Saidas[Data da Competência],"&gt;="&amp;K$7,Saidas[Data da Competência],"&lt;"&amp;EDATE(K$7,1),Saidas[Classificação],$B36,Saidas[Status],X!$E$7,Saidas[Conta Financeira],X!$E$8,Saidas[Centro de Custos],X!$E$9)</f>
        <v>0</v>
      </c>
      <c r="L36" s="132">
        <f>SUMIFS(Saidas[Valores],Saidas[Data da Competência],"&gt;="&amp;L$7,Saidas[Data da Competência],"&lt;"&amp;EDATE(L$7,1),Saidas[Classificação],$B36,Saidas[Status],X!$E$7,Saidas[Conta Financeira],X!$E$8,Saidas[Centro de Custos],X!$E$9)</f>
        <v>0</v>
      </c>
      <c r="M36" s="132">
        <f>SUMIFS(Saidas[Valores],Saidas[Data da Competência],"&gt;="&amp;M$7,Saidas[Data da Competência],"&lt;"&amp;EDATE(M$7,1),Saidas[Classificação],$B36,Saidas[Status],X!$E$7,Saidas[Conta Financeira],X!$E$8,Saidas[Centro de Custos],X!$E$9)</f>
        <v>0</v>
      </c>
      <c r="N36" s="132">
        <f>SUMIFS(Saidas[Valores],Saidas[Data da Competência],"&gt;="&amp;N$7,Saidas[Data da Competência],"&lt;"&amp;EDATE(N$7,1),Saidas[Classificação],$B36,Saidas[Status],X!$E$7,Saidas[Conta Financeira],X!$E$8,Saidas[Centro de Custos],X!$E$9)</f>
        <v>0</v>
      </c>
      <c r="O36" s="175">
        <f t="shared" si="10"/>
        <v>0</v>
      </c>
    </row>
    <row r="37">
      <c r="B37" s="131" t="str">
        <f>IFERROR(__xludf.DUMMYFUNCTION("""COMPUTED_VALUE"""),"Doblô")</f>
        <v>Doblô</v>
      </c>
      <c r="C37" s="132">
        <f>SUMIFS(Saidas[Valores],Saidas[Data da Competência],"&gt;="&amp;C$7,Saidas[Data da Competência],"&lt;"&amp;EDATE(C$7,1),Saidas[Classificação],$B37,Saidas[Status],X!$E$7,Saidas[Conta Financeira],X!$E$8,Saidas[Centro de Custos],X!$E$9)</f>
        <v>0</v>
      </c>
      <c r="D37" s="132">
        <f>SUMIFS(Saidas[Valores],Saidas[Data da Competência],"&gt;="&amp;D$7,Saidas[Data da Competência],"&lt;"&amp;EDATE(D$7,1),Saidas[Classificação],$B37,Saidas[Status],X!$E$7,Saidas[Conta Financeira],X!$E$8,Saidas[Centro de Custos],X!$E$9)</f>
        <v>0</v>
      </c>
      <c r="E37" s="132">
        <f>SUMIFS(Saidas[Valores],Saidas[Data da Competência],"&gt;="&amp;E$7,Saidas[Data da Competência],"&lt;"&amp;EDATE(E$7,1),Saidas[Classificação],$B37,Saidas[Status],X!$E$7,Saidas[Conta Financeira],X!$E$8,Saidas[Centro de Custos],X!$E$9)</f>
        <v>0</v>
      </c>
      <c r="F37" s="132">
        <f>SUMIFS(Saidas[Valores],Saidas[Data da Competência],"&gt;="&amp;F$7,Saidas[Data da Competência],"&lt;"&amp;EDATE(F$7,1),Saidas[Classificação],$B37,Saidas[Status],X!$E$7,Saidas[Conta Financeira],X!$E$8,Saidas[Centro de Custos],X!$E$9)</f>
        <v>0</v>
      </c>
      <c r="G37" s="132">
        <f>SUMIFS(Saidas[Valores],Saidas[Data da Competência],"&gt;="&amp;G$7,Saidas[Data da Competência],"&lt;"&amp;EDATE(G$7,1),Saidas[Classificação],$B37,Saidas[Status],X!$E$7,Saidas[Conta Financeira],X!$E$8,Saidas[Centro de Custos],X!$E$9)</f>
        <v>0</v>
      </c>
      <c r="H37" s="132">
        <f>SUMIFS(Saidas[Valores],Saidas[Data da Competência],"&gt;="&amp;H$7,Saidas[Data da Competência],"&lt;"&amp;EDATE(H$7,1),Saidas[Classificação],$B37,Saidas[Status],X!$E$7,Saidas[Conta Financeira],X!$E$8,Saidas[Centro de Custos],X!$E$9)</f>
        <v>0</v>
      </c>
      <c r="I37" s="132">
        <f>SUMIFS(Saidas[Valores],Saidas[Data da Competência],"&gt;="&amp;I$7,Saidas[Data da Competência],"&lt;"&amp;EDATE(I$7,1),Saidas[Classificação],$B37,Saidas[Status],X!$E$7,Saidas[Conta Financeira],X!$E$8,Saidas[Centro de Custos],X!$E$9)</f>
        <v>0</v>
      </c>
      <c r="J37" s="132">
        <f>SUMIFS(Saidas[Valores],Saidas[Data da Competência],"&gt;="&amp;J$7,Saidas[Data da Competência],"&lt;"&amp;EDATE(J$7,1),Saidas[Classificação],$B37,Saidas[Status],X!$E$7,Saidas[Conta Financeira],X!$E$8,Saidas[Centro de Custos],X!$E$9)</f>
        <v>0</v>
      </c>
      <c r="K37" s="132">
        <f>SUMIFS(Saidas[Valores],Saidas[Data da Competência],"&gt;="&amp;K$7,Saidas[Data da Competência],"&lt;"&amp;EDATE(K$7,1),Saidas[Classificação],$B37,Saidas[Status],X!$E$7,Saidas[Conta Financeira],X!$E$8,Saidas[Centro de Custos],X!$E$9)</f>
        <v>0</v>
      </c>
      <c r="L37" s="132">
        <f>SUMIFS(Saidas[Valores],Saidas[Data da Competência],"&gt;="&amp;L$7,Saidas[Data da Competência],"&lt;"&amp;EDATE(L$7,1),Saidas[Classificação],$B37,Saidas[Status],X!$E$7,Saidas[Conta Financeira],X!$E$8,Saidas[Centro de Custos],X!$E$9)</f>
        <v>0</v>
      </c>
      <c r="M37" s="132">
        <f>SUMIFS(Saidas[Valores],Saidas[Data da Competência],"&gt;="&amp;M$7,Saidas[Data da Competência],"&lt;"&amp;EDATE(M$7,1),Saidas[Classificação],$B37,Saidas[Status],X!$E$7,Saidas[Conta Financeira],X!$E$8,Saidas[Centro de Custos],X!$E$9)</f>
        <v>0</v>
      </c>
      <c r="N37" s="132">
        <f>SUMIFS(Saidas[Valores],Saidas[Data da Competência],"&gt;="&amp;N$7,Saidas[Data da Competência],"&lt;"&amp;EDATE(N$7,1),Saidas[Classificação],$B37,Saidas[Status],X!$E$7,Saidas[Conta Financeira],X!$E$8,Saidas[Centro de Custos],X!$E$9)</f>
        <v>0</v>
      </c>
      <c r="O37" s="175">
        <f t="shared" si="10"/>
        <v>0</v>
      </c>
    </row>
    <row r="38">
      <c r="B38" s="131" t="str">
        <f>IFERROR(__xludf.DUMMYFUNCTION("""COMPUTED_VALUE"""),"Obras e Manutenção")</f>
        <v>Obras e Manutenção</v>
      </c>
      <c r="C38" s="132">
        <f>SUMIFS(Saidas[Valores],Saidas[Data da Competência],"&gt;="&amp;C$7,Saidas[Data da Competência],"&lt;"&amp;EDATE(C$7,1),Saidas[Classificação],$B38,Saidas[Status],X!$E$7,Saidas[Conta Financeira],X!$E$8,Saidas[Centro de Custos],X!$E$9)</f>
        <v>0</v>
      </c>
      <c r="D38" s="132">
        <f>SUMIFS(Saidas[Valores],Saidas[Data da Competência],"&gt;="&amp;D$7,Saidas[Data da Competência],"&lt;"&amp;EDATE(D$7,1),Saidas[Classificação],$B38,Saidas[Status],X!$E$7,Saidas[Conta Financeira],X!$E$8,Saidas[Centro de Custos],X!$E$9)</f>
        <v>0</v>
      </c>
      <c r="E38" s="132">
        <f>SUMIFS(Saidas[Valores],Saidas[Data da Competência],"&gt;="&amp;E$7,Saidas[Data da Competência],"&lt;"&amp;EDATE(E$7,1),Saidas[Classificação],$B38,Saidas[Status],X!$E$7,Saidas[Conta Financeira],X!$E$8,Saidas[Centro de Custos],X!$E$9)</f>
        <v>0</v>
      </c>
      <c r="F38" s="132">
        <f>SUMIFS(Saidas[Valores],Saidas[Data da Competência],"&gt;="&amp;F$7,Saidas[Data da Competência],"&lt;"&amp;EDATE(F$7,1),Saidas[Classificação],$B38,Saidas[Status],X!$E$7,Saidas[Conta Financeira],X!$E$8,Saidas[Centro de Custos],X!$E$9)</f>
        <v>0</v>
      </c>
      <c r="G38" s="132">
        <f>SUMIFS(Saidas[Valores],Saidas[Data da Competência],"&gt;="&amp;G$7,Saidas[Data da Competência],"&lt;"&amp;EDATE(G$7,1),Saidas[Classificação],$B38,Saidas[Status],X!$E$7,Saidas[Conta Financeira],X!$E$8,Saidas[Centro de Custos],X!$E$9)</f>
        <v>0</v>
      </c>
      <c r="H38" s="132">
        <f>SUMIFS(Saidas[Valores],Saidas[Data da Competência],"&gt;="&amp;H$7,Saidas[Data da Competência],"&lt;"&amp;EDATE(H$7,1),Saidas[Classificação],$B38,Saidas[Status],X!$E$7,Saidas[Conta Financeira],X!$E$8,Saidas[Centro de Custos],X!$E$9)</f>
        <v>0</v>
      </c>
      <c r="I38" s="132">
        <f>SUMIFS(Saidas[Valores],Saidas[Data da Competência],"&gt;="&amp;I$7,Saidas[Data da Competência],"&lt;"&amp;EDATE(I$7,1),Saidas[Classificação],$B38,Saidas[Status],X!$E$7,Saidas[Conta Financeira],X!$E$8,Saidas[Centro de Custos],X!$E$9)</f>
        <v>0</v>
      </c>
      <c r="J38" s="132">
        <f>SUMIFS(Saidas[Valores],Saidas[Data da Competência],"&gt;="&amp;J$7,Saidas[Data da Competência],"&lt;"&amp;EDATE(J$7,1),Saidas[Classificação],$B38,Saidas[Status],X!$E$7,Saidas[Conta Financeira],X!$E$8,Saidas[Centro de Custos],X!$E$9)</f>
        <v>0</v>
      </c>
      <c r="K38" s="132">
        <f>SUMIFS(Saidas[Valores],Saidas[Data da Competência],"&gt;="&amp;K$7,Saidas[Data da Competência],"&lt;"&amp;EDATE(K$7,1),Saidas[Classificação],$B38,Saidas[Status],X!$E$7,Saidas[Conta Financeira],X!$E$8,Saidas[Centro de Custos],X!$E$9)</f>
        <v>0</v>
      </c>
      <c r="L38" s="132">
        <f>SUMIFS(Saidas[Valores],Saidas[Data da Competência],"&gt;="&amp;L$7,Saidas[Data da Competência],"&lt;"&amp;EDATE(L$7,1),Saidas[Classificação],$B38,Saidas[Status],X!$E$7,Saidas[Conta Financeira],X!$E$8,Saidas[Centro de Custos],X!$E$9)</f>
        <v>0</v>
      </c>
      <c r="M38" s="132">
        <f>SUMIFS(Saidas[Valores],Saidas[Data da Competência],"&gt;="&amp;M$7,Saidas[Data da Competência],"&lt;"&amp;EDATE(M$7,1),Saidas[Classificação],$B38,Saidas[Status],X!$E$7,Saidas[Conta Financeira],X!$E$8,Saidas[Centro de Custos],X!$E$9)</f>
        <v>0</v>
      </c>
      <c r="N38" s="132">
        <f>SUMIFS(Saidas[Valores],Saidas[Data da Competência],"&gt;="&amp;N$7,Saidas[Data da Competência],"&lt;"&amp;EDATE(N$7,1),Saidas[Classificação],$B38,Saidas[Status],X!$E$7,Saidas[Conta Financeira],X!$E$8,Saidas[Centro de Custos],X!$E$9)</f>
        <v>0</v>
      </c>
      <c r="O38" s="175">
        <f t="shared" si="10"/>
        <v>0</v>
      </c>
    </row>
    <row r="39">
      <c r="B39" s="131" t="str">
        <f>IFERROR(__xludf.DUMMYFUNCTION("""COMPUTED_VALUE"""),"Empréstimos Luiz")</f>
        <v>Empréstimos Luiz</v>
      </c>
      <c r="C39" s="132">
        <f>SUMIFS(Saidas[Valores],Saidas[Data da Competência],"&gt;="&amp;C$7,Saidas[Data da Competência],"&lt;"&amp;EDATE(C$7,1),Saidas[Classificação],$B39,Saidas[Status],X!$E$7,Saidas[Conta Financeira],X!$E$8,Saidas[Centro de Custos],X!$E$9)</f>
        <v>0</v>
      </c>
      <c r="D39" s="132">
        <f>SUMIFS(Saidas[Valores],Saidas[Data da Competência],"&gt;="&amp;D$7,Saidas[Data da Competência],"&lt;"&amp;EDATE(D$7,1),Saidas[Classificação],$B39,Saidas[Status],X!$E$7,Saidas[Conta Financeira],X!$E$8,Saidas[Centro de Custos],X!$E$9)</f>
        <v>0</v>
      </c>
      <c r="E39" s="132">
        <f>SUMIFS(Saidas[Valores],Saidas[Data da Competência],"&gt;="&amp;E$7,Saidas[Data da Competência],"&lt;"&amp;EDATE(E$7,1),Saidas[Classificação],$B39,Saidas[Status],X!$E$7,Saidas[Conta Financeira],X!$E$8,Saidas[Centro de Custos],X!$E$9)</f>
        <v>0</v>
      </c>
      <c r="F39" s="132">
        <f>SUMIFS(Saidas[Valores],Saidas[Data da Competência],"&gt;="&amp;F$7,Saidas[Data da Competência],"&lt;"&amp;EDATE(F$7,1),Saidas[Classificação],$B39,Saidas[Status],X!$E$7,Saidas[Conta Financeira],X!$E$8,Saidas[Centro de Custos],X!$E$9)</f>
        <v>0</v>
      </c>
      <c r="G39" s="132">
        <f>SUMIFS(Saidas[Valores],Saidas[Data da Competência],"&gt;="&amp;G$7,Saidas[Data da Competência],"&lt;"&amp;EDATE(G$7,1),Saidas[Classificação],$B39,Saidas[Status],X!$E$7,Saidas[Conta Financeira],X!$E$8,Saidas[Centro de Custos],X!$E$9)</f>
        <v>0</v>
      </c>
      <c r="H39" s="132">
        <f>SUMIFS(Saidas[Valores],Saidas[Data da Competência],"&gt;="&amp;H$7,Saidas[Data da Competência],"&lt;"&amp;EDATE(H$7,1),Saidas[Classificação],$B39,Saidas[Status],X!$E$7,Saidas[Conta Financeira],X!$E$8,Saidas[Centro de Custos],X!$E$9)</f>
        <v>0</v>
      </c>
      <c r="I39" s="132">
        <f>SUMIFS(Saidas[Valores],Saidas[Data da Competência],"&gt;="&amp;I$7,Saidas[Data da Competência],"&lt;"&amp;EDATE(I$7,1),Saidas[Classificação],$B39,Saidas[Status],X!$E$7,Saidas[Conta Financeira],X!$E$8,Saidas[Centro de Custos],X!$E$9)</f>
        <v>0</v>
      </c>
      <c r="J39" s="132">
        <f>SUMIFS(Saidas[Valores],Saidas[Data da Competência],"&gt;="&amp;J$7,Saidas[Data da Competência],"&lt;"&amp;EDATE(J$7,1),Saidas[Classificação],$B39,Saidas[Status],X!$E$7,Saidas[Conta Financeira],X!$E$8,Saidas[Centro de Custos],X!$E$9)</f>
        <v>0</v>
      </c>
      <c r="K39" s="132">
        <f>SUMIFS(Saidas[Valores],Saidas[Data da Competência],"&gt;="&amp;K$7,Saidas[Data da Competência],"&lt;"&amp;EDATE(K$7,1),Saidas[Classificação],$B39,Saidas[Status],X!$E$7,Saidas[Conta Financeira],X!$E$8,Saidas[Centro de Custos],X!$E$9)</f>
        <v>0</v>
      </c>
      <c r="L39" s="132">
        <f>SUMIFS(Saidas[Valores],Saidas[Data da Competência],"&gt;="&amp;L$7,Saidas[Data da Competência],"&lt;"&amp;EDATE(L$7,1),Saidas[Classificação],$B39,Saidas[Status],X!$E$7,Saidas[Conta Financeira],X!$E$8,Saidas[Centro de Custos],X!$E$9)</f>
        <v>0</v>
      </c>
      <c r="M39" s="132">
        <f>SUMIFS(Saidas[Valores],Saidas[Data da Competência],"&gt;="&amp;M$7,Saidas[Data da Competência],"&lt;"&amp;EDATE(M$7,1),Saidas[Classificação],$B39,Saidas[Status],X!$E$7,Saidas[Conta Financeira],X!$E$8,Saidas[Centro de Custos],X!$E$9)</f>
        <v>0</v>
      </c>
      <c r="N39" s="132">
        <f>SUMIFS(Saidas[Valores],Saidas[Data da Competência],"&gt;="&amp;N$7,Saidas[Data da Competência],"&lt;"&amp;EDATE(N$7,1),Saidas[Classificação],$B39,Saidas[Status],X!$E$7,Saidas[Conta Financeira],X!$E$8,Saidas[Centro de Custos],X!$E$9)</f>
        <v>0</v>
      </c>
      <c r="O39" s="175">
        <f t="shared" si="10"/>
        <v>0</v>
      </c>
    </row>
    <row r="40">
      <c r="B40" s="131" t="str">
        <f>IFERROR(__xludf.DUMMYFUNCTION("""COMPUTED_VALUE"""),"Empréstimos Diogo")</f>
        <v>Empréstimos Diogo</v>
      </c>
      <c r="C40" s="132">
        <f>SUMIFS(Saidas[Valores],Saidas[Data da Competência],"&gt;="&amp;C$7,Saidas[Data da Competência],"&lt;"&amp;EDATE(C$7,1),Saidas[Classificação],$B40,Saidas[Status],X!$E$7,Saidas[Conta Financeira],X!$E$8,Saidas[Centro de Custos],X!$E$9)</f>
        <v>0</v>
      </c>
      <c r="D40" s="132">
        <f>SUMIFS(Saidas[Valores],Saidas[Data da Competência],"&gt;="&amp;D$7,Saidas[Data da Competência],"&lt;"&amp;EDATE(D$7,1),Saidas[Classificação],$B40,Saidas[Status],X!$E$7,Saidas[Conta Financeira],X!$E$8,Saidas[Centro de Custos],X!$E$9)</f>
        <v>0</v>
      </c>
      <c r="E40" s="132">
        <f>SUMIFS(Saidas[Valores],Saidas[Data da Competência],"&gt;="&amp;E$7,Saidas[Data da Competência],"&lt;"&amp;EDATE(E$7,1),Saidas[Classificação],$B40,Saidas[Status],X!$E$7,Saidas[Conta Financeira],X!$E$8,Saidas[Centro de Custos],X!$E$9)</f>
        <v>0</v>
      </c>
      <c r="F40" s="132">
        <f>SUMIFS(Saidas[Valores],Saidas[Data da Competência],"&gt;="&amp;F$7,Saidas[Data da Competência],"&lt;"&amp;EDATE(F$7,1),Saidas[Classificação],$B40,Saidas[Status],X!$E$7,Saidas[Conta Financeira],X!$E$8,Saidas[Centro de Custos],X!$E$9)</f>
        <v>0</v>
      </c>
      <c r="G40" s="132">
        <f>SUMIFS(Saidas[Valores],Saidas[Data da Competência],"&gt;="&amp;G$7,Saidas[Data da Competência],"&lt;"&amp;EDATE(G$7,1),Saidas[Classificação],$B40,Saidas[Status],X!$E$7,Saidas[Conta Financeira],X!$E$8,Saidas[Centro de Custos],X!$E$9)</f>
        <v>0</v>
      </c>
      <c r="H40" s="132">
        <f>SUMIFS(Saidas[Valores],Saidas[Data da Competência],"&gt;="&amp;H$7,Saidas[Data da Competência],"&lt;"&amp;EDATE(H$7,1),Saidas[Classificação],$B40,Saidas[Status],X!$E$7,Saidas[Conta Financeira],X!$E$8,Saidas[Centro de Custos],X!$E$9)</f>
        <v>0</v>
      </c>
      <c r="I40" s="132">
        <f>SUMIFS(Saidas[Valores],Saidas[Data da Competência],"&gt;="&amp;I$7,Saidas[Data da Competência],"&lt;"&amp;EDATE(I$7,1),Saidas[Classificação],$B40,Saidas[Status],X!$E$7,Saidas[Conta Financeira],X!$E$8,Saidas[Centro de Custos],X!$E$9)</f>
        <v>0</v>
      </c>
      <c r="J40" s="132">
        <f>SUMIFS(Saidas[Valores],Saidas[Data da Competência],"&gt;="&amp;J$7,Saidas[Data da Competência],"&lt;"&amp;EDATE(J$7,1),Saidas[Classificação],$B40,Saidas[Status],X!$E$7,Saidas[Conta Financeira],X!$E$8,Saidas[Centro de Custos],X!$E$9)</f>
        <v>0</v>
      </c>
      <c r="K40" s="132">
        <f>SUMIFS(Saidas[Valores],Saidas[Data da Competência],"&gt;="&amp;K$7,Saidas[Data da Competência],"&lt;"&amp;EDATE(K$7,1),Saidas[Classificação],$B40,Saidas[Status],X!$E$7,Saidas[Conta Financeira],X!$E$8,Saidas[Centro de Custos],X!$E$9)</f>
        <v>0</v>
      </c>
      <c r="L40" s="132">
        <f>SUMIFS(Saidas[Valores],Saidas[Data da Competência],"&gt;="&amp;L$7,Saidas[Data da Competência],"&lt;"&amp;EDATE(L$7,1),Saidas[Classificação],$B40,Saidas[Status],X!$E$7,Saidas[Conta Financeira],X!$E$8,Saidas[Centro de Custos],X!$E$9)</f>
        <v>0</v>
      </c>
      <c r="M40" s="132">
        <f>SUMIFS(Saidas[Valores],Saidas[Data da Competência],"&gt;="&amp;M$7,Saidas[Data da Competência],"&lt;"&amp;EDATE(M$7,1),Saidas[Classificação],$B40,Saidas[Status],X!$E$7,Saidas[Conta Financeira],X!$E$8,Saidas[Centro de Custos],X!$E$9)</f>
        <v>0</v>
      </c>
      <c r="N40" s="132">
        <f>SUMIFS(Saidas[Valores],Saidas[Data da Competência],"&gt;="&amp;N$7,Saidas[Data da Competência],"&lt;"&amp;EDATE(N$7,1),Saidas[Classificação],$B40,Saidas[Status],X!$E$7,Saidas[Conta Financeira],X!$E$8,Saidas[Centro de Custos],X!$E$9)</f>
        <v>0</v>
      </c>
      <c r="O40" s="175">
        <f t="shared" si="10"/>
        <v>0</v>
      </c>
    </row>
    <row r="41">
      <c r="B41" s="131" t="str">
        <f>IFERROR(__xludf.DUMMYFUNCTION("""COMPUTED_VALUE"""),"Tarifas")</f>
        <v>Tarifas</v>
      </c>
      <c r="C41" s="132">
        <f>SUMIFS(Saidas[Valores],Saidas[Data da Competência],"&gt;="&amp;C$7,Saidas[Data da Competência],"&lt;"&amp;EDATE(C$7,1),Saidas[Classificação],$B41,Saidas[Status],X!$E$7,Saidas[Conta Financeira],X!$E$8,Saidas[Centro de Custos],X!$E$9)</f>
        <v>0</v>
      </c>
      <c r="D41" s="132">
        <f>SUMIFS(Saidas[Valores],Saidas[Data da Competência],"&gt;="&amp;D$7,Saidas[Data da Competência],"&lt;"&amp;EDATE(D$7,1),Saidas[Classificação],$B41,Saidas[Status],X!$E$7,Saidas[Conta Financeira],X!$E$8,Saidas[Centro de Custos],X!$E$9)</f>
        <v>0</v>
      </c>
      <c r="E41" s="132">
        <f>SUMIFS(Saidas[Valores],Saidas[Data da Competência],"&gt;="&amp;E$7,Saidas[Data da Competência],"&lt;"&amp;EDATE(E$7,1),Saidas[Classificação],$B41,Saidas[Status],X!$E$7,Saidas[Conta Financeira],X!$E$8,Saidas[Centro de Custos],X!$E$9)</f>
        <v>0</v>
      </c>
      <c r="F41" s="132">
        <f>SUMIFS(Saidas[Valores],Saidas[Data da Competência],"&gt;="&amp;F$7,Saidas[Data da Competência],"&lt;"&amp;EDATE(F$7,1),Saidas[Classificação],$B41,Saidas[Status],X!$E$7,Saidas[Conta Financeira],X!$E$8,Saidas[Centro de Custos],X!$E$9)</f>
        <v>0</v>
      </c>
      <c r="G41" s="132">
        <f>SUMIFS(Saidas[Valores],Saidas[Data da Competência],"&gt;="&amp;G$7,Saidas[Data da Competência],"&lt;"&amp;EDATE(G$7,1),Saidas[Classificação],$B41,Saidas[Status],X!$E$7,Saidas[Conta Financeira],X!$E$8,Saidas[Centro de Custos],X!$E$9)</f>
        <v>0</v>
      </c>
      <c r="H41" s="132">
        <f>SUMIFS(Saidas[Valores],Saidas[Data da Competência],"&gt;="&amp;H$7,Saidas[Data da Competência],"&lt;"&amp;EDATE(H$7,1),Saidas[Classificação],$B41,Saidas[Status],X!$E$7,Saidas[Conta Financeira],X!$E$8,Saidas[Centro de Custos],X!$E$9)</f>
        <v>0</v>
      </c>
      <c r="I41" s="132">
        <f>SUMIFS(Saidas[Valores],Saidas[Data da Competência],"&gt;="&amp;I$7,Saidas[Data da Competência],"&lt;"&amp;EDATE(I$7,1),Saidas[Classificação],$B41,Saidas[Status],X!$E$7,Saidas[Conta Financeira],X!$E$8,Saidas[Centro de Custos],X!$E$9)</f>
        <v>0</v>
      </c>
      <c r="J41" s="132">
        <f>SUMIFS(Saidas[Valores],Saidas[Data da Competência],"&gt;="&amp;J$7,Saidas[Data da Competência],"&lt;"&amp;EDATE(J$7,1),Saidas[Classificação],$B41,Saidas[Status],X!$E$7,Saidas[Conta Financeira],X!$E$8,Saidas[Centro de Custos],X!$E$9)</f>
        <v>0</v>
      </c>
      <c r="K41" s="132">
        <f>SUMIFS(Saidas[Valores],Saidas[Data da Competência],"&gt;="&amp;K$7,Saidas[Data da Competência],"&lt;"&amp;EDATE(K$7,1),Saidas[Classificação],$B41,Saidas[Status],X!$E$7,Saidas[Conta Financeira],X!$E$8,Saidas[Centro de Custos],X!$E$9)</f>
        <v>0</v>
      </c>
      <c r="L41" s="132">
        <f>SUMIFS(Saidas[Valores],Saidas[Data da Competência],"&gt;="&amp;L$7,Saidas[Data da Competência],"&lt;"&amp;EDATE(L$7,1),Saidas[Classificação],$B41,Saidas[Status],X!$E$7,Saidas[Conta Financeira],X!$E$8,Saidas[Centro de Custos],X!$E$9)</f>
        <v>0</v>
      </c>
      <c r="M41" s="132">
        <f>SUMIFS(Saidas[Valores],Saidas[Data da Competência],"&gt;="&amp;M$7,Saidas[Data da Competência],"&lt;"&amp;EDATE(M$7,1),Saidas[Classificação],$B41,Saidas[Status],X!$E$7,Saidas[Conta Financeira],X!$E$8,Saidas[Centro de Custos],X!$E$9)</f>
        <v>0</v>
      </c>
      <c r="N41" s="132">
        <f>SUMIFS(Saidas[Valores],Saidas[Data da Competência],"&gt;="&amp;N$7,Saidas[Data da Competência],"&lt;"&amp;EDATE(N$7,1),Saidas[Classificação],$B41,Saidas[Status],X!$E$7,Saidas[Conta Financeira],X!$E$8,Saidas[Centro de Custos],X!$E$9)</f>
        <v>0</v>
      </c>
      <c r="O41" s="175">
        <f t="shared" si="10"/>
        <v>0</v>
      </c>
    </row>
    <row r="42">
      <c r="B42" s="131" t="str">
        <f>IFERROR(__xludf.DUMMYFUNCTION("""COMPUTED_VALUE"""),"Diferença de Caixa")</f>
        <v>Diferença de Caixa</v>
      </c>
      <c r="C42" s="132">
        <f>SUMIFS(Saidas[Valores],Saidas[Data da Competência],"&gt;="&amp;C$7,Saidas[Data da Competência],"&lt;"&amp;EDATE(C$7,1),Saidas[Classificação],$B42,Saidas[Status],X!$E$7,Saidas[Conta Financeira],X!$E$8,Saidas[Centro de Custos],X!$E$9)</f>
        <v>0</v>
      </c>
      <c r="D42" s="132">
        <f>SUMIFS(Saidas[Valores],Saidas[Data da Competência],"&gt;="&amp;D$7,Saidas[Data da Competência],"&lt;"&amp;EDATE(D$7,1),Saidas[Classificação],$B42,Saidas[Status],X!$E$7,Saidas[Conta Financeira],X!$E$8,Saidas[Centro de Custos],X!$E$9)</f>
        <v>0</v>
      </c>
      <c r="E42" s="132">
        <f>SUMIFS(Saidas[Valores],Saidas[Data da Competência],"&gt;="&amp;E$7,Saidas[Data da Competência],"&lt;"&amp;EDATE(E$7,1),Saidas[Classificação],$B42,Saidas[Status],X!$E$7,Saidas[Conta Financeira],X!$E$8,Saidas[Centro de Custos],X!$E$9)</f>
        <v>0</v>
      </c>
      <c r="F42" s="132">
        <f>SUMIFS(Saidas[Valores],Saidas[Data da Competência],"&gt;="&amp;F$7,Saidas[Data da Competência],"&lt;"&amp;EDATE(F$7,1),Saidas[Classificação],$B42,Saidas[Status],X!$E$7,Saidas[Conta Financeira],X!$E$8,Saidas[Centro de Custos],X!$E$9)</f>
        <v>0</v>
      </c>
      <c r="G42" s="132">
        <f>SUMIFS(Saidas[Valores],Saidas[Data da Competência],"&gt;="&amp;G$7,Saidas[Data da Competência],"&lt;"&amp;EDATE(G$7,1),Saidas[Classificação],$B42,Saidas[Status],X!$E$7,Saidas[Conta Financeira],X!$E$8,Saidas[Centro de Custos],X!$E$9)</f>
        <v>0</v>
      </c>
      <c r="H42" s="132">
        <f>SUMIFS(Saidas[Valores],Saidas[Data da Competência],"&gt;="&amp;H$7,Saidas[Data da Competência],"&lt;"&amp;EDATE(H$7,1),Saidas[Classificação],$B42,Saidas[Status],X!$E$7,Saidas[Conta Financeira],X!$E$8,Saidas[Centro de Custos],X!$E$9)</f>
        <v>0</v>
      </c>
      <c r="I42" s="132">
        <f>SUMIFS(Saidas[Valores],Saidas[Data da Competência],"&gt;="&amp;I$7,Saidas[Data da Competência],"&lt;"&amp;EDATE(I$7,1),Saidas[Classificação],$B42,Saidas[Status],X!$E$7,Saidas[Conta Financeira],X!$E$8,Saidas[Centro de Custos],X!$E$9)</f>
        <v>0</v>
      </c>
      <c r="J42" s="132">
        <f>SUMIFS(Saidas[Valores],Saidas[Data da Competência],"&gt;="&amp;J$7,Saidas[Data da Competência],"&lt;"&amp;EDATE(J$7,1),Saidas[Classificação],$B42,Saidas[Status],X!$E$7,Saidas[Conta Financeira],X!$E$8,Saidas[Centro de Custos],X!$E$9)</f>
        <v>0</v>
      </c>
      <c r="K42" s="132">
        <f>SUMIFS(Saidas[Valores],Saidas[Data da Competência],"&gt;="&amp;K$7,Saidas[Data da Competência],"&lt;"&amp;EDATE(K$7,1),Saidas[Classificação],$B42,Saidas[Status],X!$E$7,Saidas[Conta Financeira],X!$E$8,Saidas[Centro de Custos],X!$E$9)</f>
        <v>0</v>
      </c>
      <c r="L42" s="132">
        <f>SUMIFS(Saidas[Valores],Saidas[Data da Competência],"&gt;="&amp;L$7,Saidas[Data da Competência],"&lt;"&amp;EDATE(L$7,1),Saidas[Classificação],$B42,Saidas[Status],X!$E$7,Saidas[Conta Financeira],X!$E$8,Saidas[Centro de Custos],X!$E$9)</f>
        <v>0</v>
      </c>
      <c r="M42" s="132">
        <f>SUMIFS(Saidas[Valores],Saidas[Data da Competência],"&gt;="&amp;M$7,Saidas[Data da Competência],"&lt;"&amp;EDATE(M$7,1),Saidas[Classificação],$B42,Saidas[Status],X!$E$7,Saidas[Conta Financeira],X!$E$8,Saidas[Centro de Custos],X!$E$9)</f>
        <v>0</v>
      </c>
      <c r="N42" s="132">
        <f>SUMIFS(Saidas[Valores],Saidas[Data da Competência],"&gt;="&amp;N$7,Saidas[Data da Competência],"&lt;"&amp;EDATE(N$7,1),Saidas[Classificação],$B42,Saidas[Status],X!$E$7,Saidas[Conta Financeira],X!$E$8,Saidas[Centro de Custos],X!$E$9)</f>
        <v>0</v>
      </c>
      <c r="O42" s="175">
        <f t="shared" si="10"/>
        <v>0</v>
      </c>
    </row>
    <row r="43">
      <c r="B43" s="131" t="str">
        <f>IFERROR(__xludf.DUMMYFUNCTION("""COMPUTED_VALUE"""),"Multas e Juros")</f>
        <v>Multas e Juros</v>
      </c>
      <c r="C43" s="132">
        <f>SUMIFS(Saidas[Valores],Saidas[Data da Competência],"&gt;="&amp;C$7,Saidas[Data da Competência],"&lt;"&amp;EDATE(C$7,1),Saidas[Classificação],$B43,Saidas[Status],X!$E$7,Saidas[Conta Financeira],X!$E$8,Saidas[Centro de Custos],X!$E$9)</f>
        <v>0</v>
      </c>
      <c r="D43" s="132">
        <f>SUMIFS(Saidas[Valores],Saidas[Data da Competência],"&gt;="&amp;D$7,Saidas[Data da Competência],"&lt;"&amp;EDATE(D$7,1),Saidas[Classificação],$B43,Saidas[Status],X!$E$7,Saidas[Conta Financeira],X!$E$8,Saidas[Centro de Custos],X!$E$9)</f>
        <v>0</v>
      </c>
      <c r="E43" s="132">
        <f>SUMIFS(Saidas[Valores],Saidas[Data da Competência],"&gt;="&amp;E$7,Saidas[Data da Competência],"&lt;"&amp;EDATE(E$7,1),Saidas[Classificação],$B43,Saidas[Status],X!$E$7,Saidas[Conta Financeira],X!$E$8,Saidas[Centro de Custos],X!$E$9)</f>
        <v>0</v>
      </c>
      <c r="F43" s="132">
        <f>SUMIFS(Saidas[Valores],Saidas[Data da Competência],"&gt;="&amp;F$7,Saidas[Data da Competência],"&lt;"&amp;EDATE(F$7,1),Saidas[Classificação],$B43,Saidas[Status],X!$E$7,Saidas[Conta Financeira],X!$E$8,Saidas[Centro de Custos],X!$E$9)</f>
        <v>0</v>
      </c>
      <c r="G43" s="132">
        <f>SUMIFS(Saidas[Valores],Saidas[Data da Competência],"&gt;="&amp;G$7,Saidas[Data da Competência],"&lt;"&amp;EDATE(G$7,1),Saidas[Classificação],$B43,Saidas[Status],X!$E$7,Saidas[Conta Financeira],X!$E$8,Saidas[Centro de Custos],X!$E$9)</f>
        <v>0</v>
      </c>
      <c r="H43" s="132">
        <f>SUMIFS(Saidas[Valores],Saidas[Data da Competência],"&gt;="&amp;H$7,Saidas[Data da Competência],"&lt;"&amp;EDATE(H$7,1),Saidas[Classificação],$B43,Saidas[Status],X!$E$7,Saidas[Conta Financeira],X!$E$8,Saidas[Centro de Custos],X!$E$9)</f>
        <v>0</v>
      </c>
      <c r="I43" s="132">
        <f>SUMIFS(Saidas[Valores],Saidas[Data da Competência],"&gt;="&amp;I$7,Saidas[Data da Competência],"&lt;"&amp;EDATE(I$7,1),Saidas[Classificação],$B43,Saidas[Status],X!$E$7,Saidas[Conta Financeira],X!$E$8,Saidas[Centro de Custos],X!$E$9)</f>
        <v>0</v>
      </c>
      <c r="J43" s="132">
        <f>SUMIFS(Saidas[Valores],Saidas[Data da Competência],"&gt;="&amp;J$7,Saidas[Data da Competência],"&lt;"&amp;EDATE(J$7,1),Saidas[Classificação],$B43,Saidas[Status],X!$E$7,Saidas[Conta Financeira],X!$E$8,Saidas[Centro de Custos],X!$E$9)</f>
        <v>0</v>
      </c>
      <c r="K43" s="132">
        <f>SUMIFS(Saidas[Valores],Saidas[Data da Competência],"&gt;="&amp;K$7,Saidas[Data da Competência],"&lt;"&amp;EDATE(K$7,1),Saidas[Classificação],$B43,Saidas[Status],X!$E$7,Saidas[Conta Financeira],X!$E$8,Saidas[Centro de Custos],X!$E$9)</f>
        <v>0</v>
      </c>
      <c r="L43" s="132">
        <f>SUMIFS(Saidas[Valores],Saidas[Data da Competência],"&gt;="&amp;L$7,Saidas[Data da Competência],"&lt;"&amp;EDATE(L$7,1),Saidas[Classificação],$B43,Saidas[Status],X!$E$7,Saidas[Conta Financeira],X!$E$8,Saidas[Centro de Custos],X!$E$9)</f>
        <v>0</v>
      </c>
      <c r="M43" s="132">
        <f>SUMIFS(Saidas[Valores],Saidas[Data da Competência],"&gt;="&amp;M$7,Saidas[Data da Competência],"&lt;"&amp;EDATE(M$7,1),Saidas[Classificação],$B43,Saidas[Status],X!$E$7,Saidas[Conta Financeira],X!$E$8,Saidas[Centro de Custos],X!$E$9)</f>
        <v>0</v>
      </c>
      <c r="N43" s="132">
        <f>SUMIFS(Saidas[Valores],Saidas[Data da Competência],"&gt;="&amp;N$7,Saidas[Data da Competência],"&lt;"&amp;EDATE(N$7,1),Saidas[Classificação],$B43,Saidas[Status],X!$E$7,Saidas[Conta Financeira],X!$E$8,Saidas[Centro de Custos],X!$E$9)</f>
        <v>0</v>
      </c>
      <c r="O43" s="175">
        <f t="shared" si="10"/>
        <v>0</v>
      </c>
    </row>
    <row r="44">
      <c r="B44" s="131" t="str">
        <f>IFERROR(__xludf.DUMMYFUNCTION("""COMPUTED_VALUE"""),"Outros")</f>
        <v>Outros</v>
      </c>
      <c r="C44" s="132">
        <f>SUMIFS(Saidas[Valores],Saidas[Data da Competência],"&gt;="&amp;C$7,Saidas[Data da Competência],"&lt;"&amp;EDATE(C$7,1),Saidas[Classificação],$B44,Saidas[Status],X!$E$7,Saidas[Conta Financeira],X!$E$8,Saidas[Centro de Custos],X!$E$9)</f>
        <v>0</v>
      </c>
      <c r="D44" s="132">
        <f>SUMIFS(Saidas[Valores],Saidas[Data da Competência],"&gt;="&amp;D$7,Saidas[Data da Competência],"&lt;"&amp;EDATE(D$7,1),Saidas[Classificação],$B44,Saidas[Status],X!$E$7,Saidas[Conta Financeira],X!$E$8,Saidas[Centro de Custos],X!$E$9)</f>
        <v>0</v>
      </c>
      <c r="E44" s="132">
        <f>SUMIFS(Saidas[Valores],Saidas[Data da Competência],"&gt;="&amp;E$7,Saidas[Data da Competência],"&lt;"&amp;EDATE(E$7,1),Saidas[Classificação],$B44,Saidas[Status],X!$E$7,Saidas[Conta Financeira],X!$E$8,Saidas[Centro de Custos],X!$E$9)</f>
        <v>0</v>
      </c>
      <c r="F44" s="132">
        <f>SUMIFS(Saidas[Valores],Saidas[Data da Competência],"&gt;="&amp;F$7,Saidas[Data da Competência],"&lt;"&amp;EDATE(F$7,1),Saidas[Classificação],$B44,Saidas[Status],X!$E$7,Saidas[Conta Financeira],X!$E$8,Saidas[Centro de Custos],X!$E$9)</f>
        <v>0</v>
      </c>
      <c r="G44" s="132">
        <f>SUMIFS(Saidas[Valores],Saidas[Data da Competência],"&gt;="&amp;G$7,Saidas[Data da Competência],"&lt;"&amp;EDATE(G$7,1),Saidas[Classificação],$B44,Saidas[Status],X!$E$7,Saidas[Conta Financeira],X!$E$8,Saidas[Centro de Custos],X!$E$9)</f>
        <v>0</v>
      </c>
      <c r="H44" s="132">
        <f>SUMIFS(Saidas[Valores],Saidas[Data da Competência],"&gt;="&amp;H$7,Saidas[Data da Competência],"&lt;"&amp;EDATE(H$7,1),Saidas[Classificação],$B44,Saidas[Status],X!$E$7,Saidas[Conta Financeira],X!$E$8,Saidas[Centro de Custos],X!$E$9)</f>
        <v>0</v>
      </c>
      <c r="I44" s="132">
        <f>SUMIFS(Saidas[Valores],Saidas[Data da Competência],"&gt;="&amp;I$7,Saidas[Data da Competência],"&lt;"&amp;EDATE(I$7,1),Saidas[Classificação],$B44,Saidas[Status],X!$E$7,Saidas[Conta Financeira],X!$E$8,Saidas[Centro de Custos],X!$E$9)</f>
        <v>0</v>
      </c>
      <c r="J44" s="132">
        <f>SUMIFS(Saidas[Valores],Saidas[Data da Competência],"&gt;="&amp;J$7,Saidas[Data da Competência],"&lt;"&amp;EDATE(J$7,1),Saidas[Classificação],$B44,Saidas[Status],X!$E$7,Saidas[Conta Financeira],X!$E$8,Saidas[Centro de Custos],X!$E$9)</f>
        <v>0</v>
      </c>
      <c r="K44" s="132">
        <f>SUMIFS(Saidas[Valores],Saidas[Data da Competência],"&gt;="&amp;K$7,Saidas[Data da Competência],"&lt;"&amp;EDATE(K$7,1),Saidas[Classificação],$B44,Saidas[Status],X!$E$7,Saidas[Conta Financeira],X!$E$8,Saidas[Centro de Custos],X!$E$9)</f>
        <v>0</v>
      </c>
      <c r="L44" s="132">
        <f>SUMIFS(Saidas[Valores],Saidas[Data da Competência],"&gt;="&amp;L$7,Saidas[Data da Competência],"&lt;"&amp;EDATE(L$7,1),Saidas[Classificação],$B44,Saidas[Status],X!$E$7,Saidas[Conta Financeira],X!$E$8,Saidas[Centro de Custos],X!$E$9)</f>
        <v>0</v>
      </c>
      <c r="M44" s="132">
        <f>SUMIFS(Saidas[Valores],Saidas[Data da Competência],"&gt;="&amp;M$7,Saidas[Data da Competência],"&lt;"&amp;EDATE(M$7,1),Saidas[Classificação],$B44,Saidas[Status],X!$E$7,Saidas[Conta Financeira],X!$E$8,Saidas[Centro de Custos],X!$E$9)</f>
        <v>0</v>
      </c>
      <c r="N44" s="132">
        <f>SUMIFS(Saidas[Valores],Saidas[Data da Competência],"&gt;="&amp;N$7,Saidas[Data da Competência],"&lt;"&amp;EDATE(N$7,1),Saidas[Classificação],$B44,Saidas[Status],X!$E$7,Saidas[Conta Financeira],X!$E$8,Saidas[Centro de Custos],X!$E$9)</f>
        <v>0</v>
      </c>
      <c r="O44" s="175">
        <f t="shared" si="10"/>
        <v>0</v>
      </c>
    </row>
    <row r="45">
      <c r="B45" s="131"/>
      <c r="C45" s="132">
        <f>SUMIFS(Saidas[Valores],Saidas[Data da Competência],"&gt;="&amp;C$7,Saidas[Data da Competência],"&lt;"&amp;EDATE(C$7,1),Saidas[Classificação],$B45,Saidas[Status],X!$E$7,Saidas[Conta Financeira],X!$E$8,Saidas[Centro de Custos],X!$E$9)</f>
        <v>0</v>
      </c>
      <c r="D45" s="132">
        <f>SUMIFS(Saidas[Valores],Saidas[Data da Competência],"&gt;="&amp;D$7,Saidas[Data da Competência],"&lt;"&amp;EDATE(D$7,1),Saidas[Classificação],$B45,Saidas[Status],X!$E$7,Saidas[Conta Financeira],X!$E$8,Saidas[Centro de Custos],X!$E$9)</f>
        <v>0</v>
      </c>
      <c r="E45" s="132">
        <f>SUMIFS(Saidas[Valores],Saidas[Data da Competência],"&gt;="&amp;E$7,Saidas[Data da Competência],"&lt;"&amp;EDATE(E$7,1),Saidas[Classificação],$B45,Saidas[Status],X!$E$7,Saidas[Conta Financeira],X!$E$8,Saidas[Centro de Custos],X!$E$9)</f>
        <v>0</v>
      </c>
      <c r="F45" s="132">
        <f>SUMIFS(Saidas[Valores],Saidas[Data da Competência],"&gt;="&amp;F$7,Saidas[Data da Competência],"&lt;"&amp;EDATE(F$7,1),Saidas[Classificação],$B45,Saidas[Status],X!$E$7,Saidas[Conta Financeira],X!$E$8,Saidas[Centro de Custos],X!$E$9)</f>
        <v>0</v>
      </c>
      <c r="G45" s="132">
        <f>SUMIFS(Saidas[Valores],Saidas[Data da Competência],"&gt;="&amp;G$7,Saidas[Data da Competência],"&lt;"&amp;EDATE(G$7,1),Saidas[Classificação],$B45,Saidas[Status],X!$E$7,Saidas[Conta Financeira],X!$E$8,Saidas[Centro de Custos],X!$E$9)</f>
        <v>0</v>
      </c>
      <c r="H45" s="132">
        <f>SUMIFS(Saidas[Valores],Saidas[Data da Competência],"&gt;="&amp;H$7,Saidas[Data da Competência],"&lt;"&amp;EDATE(H$7,1),Saidas[Classificação],$B45,Saidas[Status],X!$E$7,Saidas[Conta Financeira],X!$E$8,Saidas[Centro de Custos],X!$E$9)</f>
        <v>0</v>
      </c>
      <c r="I45" s="132">
        <f>SUMIFS(Saidas[Valores],Saidas[Data da Competência],"&gt;="&amp;I$7,Saidas[Data da Competência],"&lt;"&amp;EDATE(I$7,1),Saidas[Classificação],$B45,Saidas[Status],X!$E$7,Saidas[Conta Financeira],X!$E$8,Saidas[Centro de Custos],X!$E$9)</f>
        <v>0</v>
      </c>
      <c r="J45" s="132">
        <f>SUMIFS(Saidas[Valores],Saidas[Data da Competência],"&gt;="&amp;J$7,Saidas[Data da Competência],"&lt;"&amp;EDATE(J$7,1),Saidas[Classificação],$B45,Saidas[Status],X!$E$7,Saidas[Conta Financeira],X!$E$8,Saidas[Centro de Custos],X!$E$9)</f>
        <v>0</v>
      </c>
      <c r="K45" s="132">
        <f>SUMIFS(Saidas[Valores],Saidas[Data da Competência],"&gt;="&amp;K$7,Saidas[Data da Competência],"&lt;"&amp;EDATE(K$7,1),Saidas[Classificação],$B45,Saidas[Status],X!$E$7,Saidas[Conta Financeira],X!$E$8,Saidas[Centro de Custos],X!$E$9)</f>
        <v>0</v>
      </c>
      <c r="L45" s="132">
        <f>SUMIFS(Saidas[Valores],Saidas[Data da Competência],"&gt;="&amp;L$7,Saidas[Data da Competência],"&lt;"&amp;EDATE(L$7,1),Saidas[Classificação],$B45,Saidas[Status],X!$E$7,Saidas[Conta Financeira],X!$E$8,Saidas[Centro de Custos],X!$E$9)</f>
        <v>0</v>
      </c>
      <c r="M45" s="132">
        <f>SUMIFS(Saidas[Valores],Saidas[Data da Competência],"&gt;="&amp;M$7,Saidas[Data da Competência],"&lt;"&amp;EDATE(M$7,1),Saidas[Classificação],$B45,Saidas[Status],X!$E$7,Saidas[Conta Financeira],X!$E$8,Saidas[Centro de Custos],X!$E$9)</f>
        <v>0</v>
      </c>
      <c r="N45" s="132">
        <f>SUMIFS(Saidas[Valores],Saidas[Data da Competência],"&gt;="&amp;N$7,Saidas[Data da Competência],"&lt;"&amp;EDATE(N$7,1),Saidas[Classificação],$B45,Saidas[Status],X!$E$7,Saidas[Conta Financeira],X!$E$8,Saidas[Centro de Custos],X!$E$9)</f>
        <v>0</v>
      </c>
      <c r="O45" s="175">
        <f t="shared" si="10"/>
        <v>0</v>
      </c>
    </row>
    <row r="46">
      <c r="B46" s="131"/>
      <c r="C46" s="132">
        <f>SUMIFS(Saidas[Valores],Saidas[Data da Competência],"&gt;="&amp;C$7,Saidas[Data da Competência],"&lt;"&amp;EDATE(C$7,1),Saidas[Classificação],$B46,Saidas[Status],X!$E$7,Saidas[Conta Financeira],X!$E$8,Saidas[Centro de Custos],X!$E$9)</f>
        <v>0</v>
      </c>
      <c r="D46" s="132">
        <f>SUMIFS(Saidas[Valores],Saidas[Data da Competência],"&gt;="&amp;D$7,Saidas[Data da Competência],"&lt;"&amp;EDATE(D$7,1),Saidas[Classificação],$B46,Saidas[Status],X!$E$7,Saidas[Conta Financeira],X!$E$8,Saidas[Centro de Custos],X!$E$9)</f>
        <v>0</v>
      </c>
      <c r="E46" s="132">
        <f>SUMIFS(Saidas[Valores],Saidas[Data da Competência],"&gt;="&amp;E$7,Saidas[Data da Competência],"&lt;"&amp;EDATE(E$7,1),Saidas[Classificação],$B46,Saidas[Status],X!$E$7,Saidas[Conta Financeira],X!$E$8,Saidas[Centro de Custos],X!$E$9)</f>
        <v>0</v>
      </c>
      <c r="F46" s="132">
        <f>SUMIFS(Saidas[Valores],Saidas[Data da Competência],"&gt;="&amp;F$7,Saidas[Data da Competência],"&lt;"&amp;EDATE(F$7,1),Saidas[Classificação],$B46,Saidas[Status],X!$E$7,Saidas[Conta Financeira],X!$E$8,Saidas[Centro de Custos],X!$E$9)</f>
        <v>0</v>
      </c>
      <c r="G46" s="132">
        <f>SUMIFS(Saidas[Valores],Saidas[Data da Competência],"&gt;="&amp;G$7,Saidas[Data da Competência],"&lt;"&amp;EDATE(G$7,1),Saidas[Classificação],$B46,Saidas[Status],X!$E$7,Saidas[Conta Financeira],X!$E$8,Saidas[Centro de Custos],X!$E$9)</f>
        <v>0</v>
      </c>
      <c r="H46" s="132">
        <f>SUMIFS(Saidas[Valores],Saidas[Data da Competência],"&gt;="&amp;H$7,Saidas[Data da Competência],"&lt;"&amp;EDATE(H$7,1),Saidas[Classificação],$B46,Saidas[Status],X!$E$7,Saidas[Conta Financeira],X!$E$8,Saidas[Centro de Custos],X!$E$9)</f>
        <v>0</v>
      </c>
      <c r="I46" s="132">
        <f>SUMIFS(Saidas[Valores],Saidas[Data da Competência],"&gt;="&amp;I$7,Saidas[Data da Competência],"&lt;"&amp;EDATE(I$7,1),Saidas[Classificação],$B46,Saidas[Status],X!$E$7,Saidas[Conta Financeira],X!$E$8,Saidas[Centro de Custos],X!$E$9)</f>
        <v>0</v>
      </c>
      <c r="J46" s="132">
        <f>SUMIFS(Saidas[Valores],Saidas[Data da Competência],"&gt;="&amp;J$7,Saidas[Data da Competência],"&lt;"&amp;EDATE(J$7,1),Saidas[Classificação],$B46,Saidas[Status],X!$E$7,Saidas[Conta Financeira],X!$E$8,Saidas[Centro de Custos],X!$E$9)</f>
        <v>0</v>
      </c>
      <c r="K46" s="132">
        <f>SUMIFS(Saidas[Valores],Saidas[Data da Competência],"&gt;="&amp;K$7,Saidas[Data da Competência],"&lt;"&amp;EDATE(K$7,1),Saidas[Classificação],$B46,Saidas[Status],X!$E$7,Saidas[Conta Financeira],X!$E$8,Saidas[Centro de Custos],X!$E$9)</f>
        <v>0</v>
      </c>
      <c r="L46" s="132">
        <f>SUMIFS(Saidas[Valores],Saidas[Data da Competência],"&gt;="&amp;L$7,Saidas[Data da Competência],"&lt;"&amp;EDATE(L$7,1),Saidas[Classificação],$B46,Saidas[Status],X!$E$7,Saidas[Conta Financeira],X!$E$8,Saidas[Centro de Custos],X!$E$9)</f>
        <v>0</v>
      </c>
      <c r="M46" s="132">
        <f>SUMIFS(Saidas[Valores],Saidas[Data da Competência],"&gt;="&amp;M$7,Saidas[Data da Competência],"&lt;"&amp;EDATE(M$7,1),Saidas[Classificação],$B46,Saidas[Status],X!$E$7,Saidas[Conta Financeira],X!$E$8,Saidas[Centro de Custos],X!$E$9)</f>
        <v>0</v>
      </c>
      <c r="N46" s="132">
        <f>SUMIFS(Saidas[Valores],Saidas[Data da Competência],"&gt;="&amp;N$7,Saidas[Data da Competência],"&lt;"&amp;EDATE(N$7,1),Saidas[Classificação],$B46,Saidas[Status],X!$E$7,Saidas[Conta Financeira],X!$E$8,Saidas[Centro de Custos],X!$E$9)</f>
        <v>0</v>
      </c>
      <c r="O46" s="175">
        <f t="shared" si="10"/>
        <v>0</v>
      </c>
    </row>
    <row r="47">
      <c r="B47" s="131"/>
      <c r="C47" s="132">
        <f>SUMIFS(Saidas[Valores],Saidas[Data da Competência],"&gt;="&amp;C$7,Saidas[Data da Competência],"&lt;"&amp;EDATE(C$7,1),Saidas[Classificação],$B47,Saidas[Status],X!$E$7,Saidas[Conta Financeira],X!$E$8,Saidas[Centro de Custos],X!$E$9)</f>
        <v>0</v>
      </c>
      <c r="D47" s="132">
        <f>SUMIFS(Saidas[Valores],Saidas[Data da Competência],"&gt;="&amp;D$7,Saidas[Data da Competência],"&lt;"&amp;EDATE(D$7,1),Saidas[Classificação],$B47,Saidas[Status],X!$E$7,Saidas[Conta Financeira],X!$E$8,Saidas[Centro de Custos],X!$E$9)</f>
        <v>0</v>
      </c>
      <c r="E47" s="132">
        <f>SUMIFS(Saidas[Valores],Saidas[Data da Competência],"&gt;="&amp;E$7,Saidas[Data da Competência],"&lt;"&amp;EDATE(E$7,1),Saidas[Classificação],$B47,Saidas[Status],X!$E$7,Saidas[Conta Financeira],X!$E$8,Saidas[Centro de Custos],X!$E$9)</f>
        <v>0</v>
      </c>
      <c r="F47" s="132">
        <f>SUMIFS(Saidas[Valores],Saidas[Data da Competência],"&gt;="&amp;F$7,Saidas[Data da Competência],"&lt;"&amp;EDATE(F$7,1),Saidas[Classificação],$B47,Saidas[Status],X!$E$7,Saidas[Conta Financeira],X!$E$8,Saidas[Centro de Custos],X!$E$9)</f>
        <v>0</v>
      </c>
      <c r="G47" s="132">
        <f>SUMIFS(Saidas[Valores],Saidas[Data da Competência],"&gt;="&amp;G$7,Saidas[Data da Competência],"&lt;"&amp;EDATE(G$7,1),Saidas[Classificação],$B47,Saidas[Status],X!$E$7,Saidas[Conta Financeira],X!$E$8,Saidas[Centro de Custos],X!$E$9)</f>
        <v>0</v>
      </c>
      <c r="H47" s="132">
        <f>SUMIFS(Saidas[Valores],Saidas[Data da Competência],"&gt;="&amp;H$7,Saidas[Data da Competência],"&lt;"&amp;EDATE(H$7,1),Saidas[Classificação],$B47,Saidas[Status],X!$E$7,Saidas[Conta Financeira],X!$E$8,Saidas[Centro de Custos],X!$E$9)</f>
        <v>0</v>
      </c>
      <c r="I47" s="132">
        <f>SUMIFS(Saidas[Valores],Saidas[Data da Competência],"&gt;="&amp;I$7,Saidas[Data da Competência],"&lt;"&amp;EDATE(I$7,1),Saidas[Classificação],$B47,Saidas[Status],X!$E$7,Saidas[Conta Financeira],X!$E$8,Saidas[Centro de Custos],X!$E$9)</f>
        <v>0</v>
      </c>
      <c r="J47" s="132">
        <f>SUMIFS(Saidas[Valores],Saidas[Data da Competência],"&gt;="&amp;J$7,Saidas[Data da Competência],"&lt;"&amp;EDATE(J$7,1),Saidas[Classificação],$B47,Saidas[Status],X!$E$7,Saidas[Conta Financeira],X!$E$8,Saidas[Centro de Custos],X!$E$9)</f>
        <v>0</v>
      </c>
      <c r="K47" s="132">
        <f>SUMIFS(Saidas[Valores],Saidas[Data da Competência],"&gt;="&amp;K$7,Saidas[Data da Competência],"&lt;"&amp;EDATE(K$7,1),Saidas[Classificação],$B47,Saidas[Status],X!$E$7,Saidas[Conta Financeira],X!$E$8,Saidas[Centro de Custos],X!$E$9)</f>
        <v>0</v>
      </c>
      <c r="L47" s="132">
        <f>SUMIFS(Saidas[Valores],Saidas[Data da Competência],"&gt;="&amp;L$7,Saidas[Data da Competência],"&lt;"&amp;EDATE(L$7,1),Saidas[Classificação],$B47,Saidas[Status],X!$E$7,Saidas[Conta Financeira],X!$E$8,Saidas[Centro de Custos],X!$E$9)</f>
        <v>0</v>
      </c>
      <c r="M47" s="132">
        <f>SUMIFS(Saidas[Valores],Saidas[Data da Competência],"&gt;="&amp;M$7,Saidas[Data da Competência],"&lt;"&amp;EDATE(M$7,1),Saidas[Classificação],$B47,Saidas[Status],X!$E$7,Saidas[Conta Financeira],X!$E$8,Saidas[Centro de Custos],X!$E$9)</f>
        <v>0</v>
      </c>
      <c r="N47" s="132">
        <f>SUMIFS(Saidas[Valores],Saidas[Data da Competência],"&gt;="&amp;N$7,Saidas[Data da Competência],"&lt;"&amp;EDATE(N$7,1),Saidas[Classificação],$B47,Saidas[Status],X!$E$7,Saidas[Conta Financeira],X!$E$8,Saidas[Centro de Custos],X!$E$9)</f>
        <v>0</v>
      </c>
      <c r="O47" s="175">
        <f t="shared" si="10"/>
        <v>0</v>
      </c>
    </row>
    <row r="48">
      <c r="B48" s="131"/>
      <c r="C48" s="132">
        <f>SUMIFS(Saidas[Valores],Saidas[Data da Competência],"&gt;="&amp;C$7,Saidas[Data da Competência],"&lt;"&amp;EDATE(C$7,1),Saidas[Classificação],$B48,Saidas[Status],X!$E$7,Saidas[Conta Financeira],X!$E$8,Saidas[Centro de Custos],X!$E$9)</f>
        <v>0</v>
      </c>
      <c r="D48" s="132">
        <f>SUMIFS(Saidas[Valores],Saidas[Data da Competência],"&gt;="&amp;D$7,Saidas[Data da Competência],"&lt;"&amp;EDATE(D$7,1),Saidas[Classificação],$B48,Saidas[Status],X!$E$7,Saidas[Conta Financeira],X!$E$8,Saidas[Centro de Custos],X!$E$9)</f>
        <v>0</v>
      </c>
      <c r="E48" s="132">
        <f>SUMIFS(Saidas[Valores],Saidas[Data da Competência],"&gt;="&amp;E$7,Saidas[Data da Competência],"&lt;"&amp;EDATE(E$7,1),Saidas[Classificação],$B48,Saidas[Status],X!$E$7,Saidas[Conta Financeira],X!$E$8,Saidas[Centro de Custos],X!$E$9)</f>
        <v>0</v>
      </c>
      <c r="F48" s="132">
        <f>SUMIFS(Saidas[Valores],Saidas[Data da Competência],"&gt;="&amp;F$7,Saidas[Data da Competência],"&lt;"&amp;EDATE(F$7,1),Saidas[Classificação],$B48,Saidas[Status],X!$E$7,Saidas[Conta Financeira],X!$E$8,Saidas[Centro de Custos],X!$E$9)</f>
        <v>0</v>
      </c>
      <c r="G48" s="132">
        <f>SUMIFS(Saidas[Valores],Saidas[Data da Competência],"&gt;="&amp;G$7,Saidas[Data da Competência],"&lt;"&amp;EDATE(G$7,1),Saidas[Classificação],$B48,Saidas[Status],X!$E$7,Saidas[Conta Financeira],X!$E$8,Saidas[Centro de Custos],X!$E$9)</f>
        <v>0</v>
      </c>
      <c r="H48" s="132">
        <f>SUMIFS(Saidas[Valores],Saidas[Data da Competência],"&gt;="&amp;H$7,Saidas[Data da Competência],"&lt;"&amp;EDATE(H$7,1),Saidas[Classificação],$B48,Saidas[Status],X!$E$7,Saidas[Conta Financeira],X!$E$8,Saidas[Centro de Custos],X!$E$9)</f>
        <v>0</v>
      </c>
      <c r="I48" s="132">
        <f>SUMIFS(Saidas[Valores],Saidas[Data da Competência],"&gt;="&amp;I$7,Saidas[Data da Competência],"&lt;"&amp;EDATE(I$7,1),Saidas[Classificação],$B48,Saidas[Status],X!$E$7,Saidas[Conta Financeira],X!$E$8,Saidas[Centro de Custos],X!$E$9)</f>
        <v>0</v>
      </c>
      <c r="J48" s="132">
        <f>SUMIFS(Saidas[Valores],Saidas[Data da Competência],"&gt;="&amp;J$7,Saidas[Data da Competência],"&lt;"&amp;EDATE(J$7,1),Saidas[Classificação],$B48,Saidas[Status],X!$E$7,Saidas[Conta Financeira],X!$E$8,Saidas[Centro de Custos],X!$E$9)</f>
        <v>0</v>
      </c>
      <c r="K48" s="132">
        <f>SUMIFS(Saidas[Valores],Saidas[Data da Competência],"&gt;="&amp;K$7,Saidas[Data da Competência],"&lt;"&amp;EDATE(K$7,1),Saidas[Classificação],$B48,Saidas[Status],X!$E$7,Saidas[Conta Financeira],X!$E$8,Saidas[Centro de Custos],X!$E$9)</f>
        <v>0</v>
      </c>
      <c r="L48" s="132">
        <f>SUMIFS(Saidas[Valores],Saidas[Data da Competência],"&gt;="&amp;L$7,Saidas[Data da Competência],"&lt;"&amp;EDATE(L$7,1),Saidas[Classificação],$B48,Saidas[Status],X!$E$7,Saidas[Conta Financeira],X!$E$8,Saidas[Centro de Custos],X!$E$9)</f>
        <v>0</v>
      </c>
      <c r="M48" s="132">
        <f>SUMIFS(Saidas[Valores],Saidas[Data da Competência],"&gt;="&amp;M$7,Saidas[Data da Competência],"&lt;"&amp;EDATE(M$7,1),Saidas[Classificação],$B48,Saidas[Status],X!$E$7,Saidas[Conta Financeira],X!$E$8,Saidas[Centro de Custos],X!$E$9)</f>
        <v>0</v>
      </c>
      <c r="N48" s="132">
        <f>SUMIFS(Saidas[Valores],Saidas[Data da Competência],"&gt;="&amp;N$7,Saidas[Data da Competência],"&lt;"&amp;EDATE(N$7,1),Saidas[Classificação],$B48,Saidas[Status],X!$E$7,Saidas[Conta Financeira],X!$E$8,Saidas[Centro de Custos],X!$E$9)</f>
        <v>0</v>
      </c>
      <c r="O48" s="175">
        <f t="shared" si="10"/>
        <v>0</v>
      </c>
    </row>
    <row r="49">
      <c r="B49" s="131"/>
      <c r="C49" s="132">
        <f>SUMIFS(Saidas[Valores],Saidas[Data da Competência],"&gt;="&amp;C$7,Saidas[Data da Competência],"&lt;"&amp;EDATE(C$7,1),Saidas[Classificação],$B49,Saidas[Status],X!$E$7,Saidas[Conta Financeira],X!$E$8,Saidas[Centro de Custos],X!$E$9)</f>
        <v>0</v>
      </c>
      <c r="D49" s="132">
        <f>SUMIFS(Saidas[Valores],Saidas[Data da Competência],"&gt;="&amp;D$7,Saidas[Data da Competência],"&lt;"&amp;EDATE(D$7,1),Saidas[Classificação],$B49,Saidas[Status],X!$E$7,Saidas[Conta Financeira],X!$E$8,Saidas[Centro de Custos],X!$E$9)</f>
        <v>0</v>
      </c>
      <c r="E49" s="132">
        <f>SUMIFS(Saidas[Valores],Saidas[Data da Competência],"&gt;="&amp;E$7,Saidas[Data da Competência],"&lt;"&amp;EDATE(E$7,1),Saidas[Classificação],$B49,Saidas[Status],X!$E$7,Saidas[Conta Financeira],X!$E$8,Saidas[Centro de Custos],X!$E$9)</f>
        <v>0</v>
      </c>
      <c r="F49" s="132">
        <f>SUMIFS(Saidas[Valores],Saidas[Data da Competência],"&gt;="&amp;F$7,Saidas[Data da Competência],"&lt;"&amp;EDATE(F$7,1),Saidas[Classificação],$B49,Saidas[Status],X!$E$7,Saidas[Conta Financeira],X!$E$8,Saidas[Centro de Custos],X!$E$9)</f>
        <v>0</v>
      </c>
      <c r="G49" s="132">
        <f>SUMIFS(Saidas[Valores],Saidas[Data da Competência],"&gt;="&amp;G$7,Saidas[Data da Competência],"&lt;"&amp;EDATE(G$7,1),Saidas[Classificação],$B49,Saidas[Status],X!$E$7,Saidas[Conta Financeira],X!$E$8,Saidas[Centro de Custos],X!$E$9)</f>
        <v>0</v>
      </c>
      <c r="H49" s="132">
        <f>SUMIFS(Saidas[Valores],Saidas[Data da Competência],"&gt;="&amp;H$7,Saidas[Data da Competência],"&lt;"&amp;EDATE(H$7,1),Saidas[Classificação],$B49,Saidas[Status],X!$E$7,Saidas[Conta Financeira],X!$E$8,Saidas[Centro de Custos],X!$E$9)</f>
        <v>0</v>
      </c>
      <c r="I49" s="132">
        <f>SUMIFS(Saidas[Valores],Saidas[Data da Competência],"&gt;="&amp;I$7,Saidas[Data da Competência],"&lt;"&amp;EDATE(I$7,1),Saidas[Classificação],$B49,Saidas[Status],X!$E$7,Saidas[Conta Financeira],X!$E$8,Saidas[Centro de Custos],X!$E$9)</f>
        <v>0</v>
      </c>
      <c r="J49" s="132">
        <f>SUMIFS(Saidas[Valores],Saidas[Data da Competência],"&gt;="&amp;J$7,Saidas[Data da Competência],"&lt;"&amp;EDATE(J$7,1),Saidas[Classificação],$B49,Saidas[Status],X!$E$7,Saidas[Conta Financeira],X!$E$8,Saidas[Centro de Custos],X!$E$9)</f>
        <v>0</v>
      </c>
      <c r="K49" s="132">
        <f>SUMIFS(Saidas[Valores],Saidas[Data da Competência],"&gt;="&amp;K$7,Saidas[Data da Competência],"&lt;"&amp;EDATE(K$7,1),Saidas[Classificação],$B49,Saidas[Status],X!$E$7,Saidas[Conta Financeira],X!$E$8,Saidas[Centro de Custos],X!$E$9)</f>
        <v>0</v>
      </c>
      <c r="L49" s="132">
        <f>SUMIFS(Saidas[Valores],Saidas[Data da Competência],"&gt;="&amp;L$7,Saidas[Data da Competência],"&lt;"&amp;EDATE(L$7,1),Saidas[Classificação],$B49,Saidas[Status],X!$E$7,Saidas[Conta Financeira],X!$E$8,Saidas[Centro de Custos],X!$E$9)</f>
        <v>0</v>
      </c>
      <c r="M49" s="132">
        <f>SUMIFS(Saidas[Valores],Saidas[Data da Competência],"&gt;="&amp;M$7,Saidas[Data da Competência],"&lt;"&amp;EDATE(M$7,1),Saidas[Classificação],$B49,Saidas[Status],X!$E$7,Saidas[Conta Financeira],X!$E$8,Saidas[Centro de Custos],X!$E$9)</f>
        <v>0</v>
      </c>
      <c r="N49" s="132">
        <f>SUMIFS(Saidas[Valores],Saidas[Data da Competência],"&gt;="&amp;N$7,Saidas[Data da Competência],"&lt;"&amp;EDATE(N$7,1),Saidas[Classificação],$B49,Saidas[Status],X!$E$7,Saidas[Conta Financeira],X!$E$8,Saidas[Centro de Custos],X!$E$9)</f>
        <v>0</v>
      </c>
      <c r="O49" s="175">
        <f t="shared" si="10"/>
        <v>0</v>
      </c>
    </row>
    <row r="50">
      <c r="B50" s="131"/>
      <c r="C50" s="132">
        <f>SUMIFS(Saidas[Valores],Saidas[Data da Competência],"&gt;="&amp;C$7,Saidas[Data da Competência],"&lt;"&amp;EDATE(C$7,1),Saidas[Classificação],$B50,Saidas[Status],X!$E$7,Saidas[Conta Financeira],X!$E$8,Saidas[Centro de Custos],X!$E$9)</f>
        <v>0</v>
      </c>
      <c r="D50" s="132">
        <f>SUMIFS(Saidas[Valores],Saidas[Data da Competência],"&gt;="&amp;D$7,Saidas[Data da Competência],"&lt;"&amp;EDATE(D$7,1),Saidas[Classificação],$B50,Saidas[Status],X!$E$7,Saidas[Conta Financeira],X!$E$8,Saidas[Centro de Custos],X!$E$9)</f>
        <v>0</v>
      </c>
      <c r="E50" s="132">
        <f>SUMIFS(Saidas[Valores],Saidas[Data da Competência],"&gt;="&amp;E$7,Saidas[Data da Competência],"&lt;"&amp;EDATE(E$7,1),Saidas[Classificação],$B50,Saidas[Status],X!$E$7,Saidas[Conta Financeira],X!$E$8,Saidas[Centro de Custos],X!$E$9)</f>
        <v>0</v>
      </c>
      <c r="F50" s="132">
        <f>SUMIFS(Saidas[Valores],Saidas[Data da Competência],"&gt;="&amp;F$7,Saidas[Data da Competência],"&lt;"&amp;EDATE(F$7,1),Saidas[Classificação],$B50,Saidas[Status],X!$E$7,Saidas[Conta Financeira],X!$E$8,Saidas[Centro de Custos],X!$E$9)</f>
        <v>0</v>
      </c>
      <c r="G50" s="132">
        <f>SUMIFS(Saidas[Valores],Saidas[Data da Competência],"&gt;="&amp;G$7,Saidas[Data da Competência],"&lt;"&amp;EDATE(G$7,1),Saidas[Classificação],$B50,Saidas[Status],X!$E$7,Saidas[Conta Financeira],X!$E$8,Saidas[Centro de Custos],X!$E$9)</f>
        <v>0</v>
      </c>
      <c r="H50" s="132">
        <f>SUMIFS(Saidas[Valores],Saidas[Data da Competência],"&gt;="&amp;H$7,Saidas[Data da Competência],"&lt;"&amp;EDATE(H$7,1),Saidas[Classificação],$B50,Saidas[Status],X!$E$7,Saidas[Conta Financeira],X!$E$8,Saidas[Centro de Custos],X!$E$9)</f>
        <v>0</v>
      </c>
      <c r="I50" s="132">
        <f>SUMIFS(Saidas[Valores],Saidas[Data da Competência],"&gt;="&amp;I$7,Saidas[Data da Competência],"&lt;"&amp;EDATE(I$7,1),Saidas[Classificação],$B50,Saidas[Status],X!$E$7,Saidas[Conta Financeira],X!$E$8,Saidas[Centro de Custos],X!$E$9)</f>
        <v>0</v>
      </c>
      <c r="J50" s="132">
        <f>SUMIFS(Saidas[Valores],Saidas[Data da Competência],"&gt;="&amp;J$7,Saidas[Data da Competência],"&lt;"&amp;EDATE(J$7,1),Saidas[Classificação],$B50,Saidas[Status],X!$E$7,Saidas[Conta Financeira],X!$E$8,Saidas[Centro de Custos],X!$E$9)</f>
        <v>0</v>
      </c>
      <c r="K50" s="132">
        <f>SUMIFS(Saidas[Valores],Saidas[Data da Competência],"&gt;="&amp;K$7,Saidas[Data da Competência],"&lt;"&amp;EDATE(K$7,1),Saidas[Classificação],$B50,Saidas[Status],X!$E$7,Saidas[Conta Financeira],X!$E$8,Saidas[Centro de Custos],X!$E$9)</f>
        <v>0</v>
      </c>
      <c r="L50" s="132">
        <f>SUMIFS(Saidas[Valores],Saidas[Data da Competência],"&gt;="&amp;L$7,Saidas[Data da Competência],"&lt;"&amp;EDATE(L$7,1),Saidas[Classificação],$B50,Saidas[Status],X!$E$7,Saidas[Conta Financeira],X!$E$8,Saidas[Centro de Custos],X!$E$9)</f>
        <v>0</v>
      </c>
      <c r="M50" s="132">
        <f>SUMIFS(Saidas[Valores],Saidas[Data da Competência],"&gt;="&amp;M$7,Saidas[Data da Competência],"&lt;"&amp;EDATE(M$7,1),Saidas[Classificação],$B50,Saidas[Status],X!$E$7,Saidas[Conta Financeira],X!$E$8,Saidas[Centro de Custos],X!$E$9)</f>
        <v>0</v>
      </c>
      <c r="N50" s="132">
        <f>SUMIFS(Saidas[Valores],Saidas[Data da Competência],"&gt;="&amp;N$7,Saidas[Data da Competência],"&lt;"&amp;EDATE(N$7,1),Saidas[Classificação],$B50,Saidas[Status],X!$E$7,Saidas[Conta Financeira],X!$E$8,Saidas[Centro de Custos],X!$E$9)</f>
        <v>0</v>
      </c>
      <c r="O50" s="175">
        <f t="shared" si="10"/>
        <v>0</v>
      </c>
    </row>
    <row r="51">
      <c r="B51" s="131"/>
      <c r="C51" s="132">
        <f>SUMIFS(Saidas[Valores],Saidas[Data da Competência],"&gt;="&amp;C$7,Saidas[Data da Competência],"&lt;"&amp;EDATE(C$7,1),Saidas[Classificação],$B51,Saidas[Status],X!$E$7,Saidas[Conta Financeira],X!$E$8,Saidas[Centro de Custos],X!$E$9)</f>
        <v>0</v>
      </c>
      <c r="D51" s="132">
        <f>SUMIFS(Saidas[Valores],Saidas[Data da Competência],"&gt;="&amp;D$7,Saidas[Data da Competência],"&lt;"&amp;EDATE(D$7,1),Saidas[Classificação],$B51,Saidas[Status],X!$E$7,Saidas[Conta Financeira],X!$E$8,Saidas[Centro de Custos],X!$E$9)</f>
        <v>0</v>
      </c>
      <c r="E51" s="132">
        <f>SUMIFS(Saidas[Valores],Saidas[Data da Competência],"&gt;="&amp;E$7,Saidas[Data da Competência],"&lt;"&amp;EDATE(E$7,1),Saidas[Classificação],$B51,Saidas[Status],X!$E$7,Saidas[Conta Financeira],X!$E$8,Saidas[Centro de Custos],X!$E$9)</f>
        <v>0</v>
      </c>
      <c r="F51" s="132">
        <f>SUMIFS(Saidas[Valores],Saidas[Data da Competência],"&gt;="&amp;F$7,Saidas[Data da Competência],"&lt;"&amp;EDATE(F$7,1),Saidas[Classificação],$B51,Saidas[Status],X!$E$7,Saidas[Conta Financeira],X!$E$8,Saidas[Centro de Custos],X!$E$9)</f>
        <v>0</v>
      </c>
      <c r="G51" s="132">
        <f>SUMIFS(Saidas[Valores],Saidas[Data da Competência],"&gt;="&amp;G$7,Saidas[Data da Competência],"&lt;"&amp;EDATE(G$7,1),Saidas[Classificação],$B51,Saidas[Status],X!$E$7,Saidas[Conta Financeira],X!$E$8,Saidas[Centro de Custos],X!$E$9)</f>
        <v>0</v>
      </c>
      <c r="H51" s="132">
        <f>SUMIFS(Saidas[Valores],Saidas[Data da Competência],"&gt;="&amp;H$7,Saidas[Data da Competência],"&lt;"&amp;EDATE(H$7,1),Saidas[Classificação],$B51,Saidas[Status],X!$E$7,Saidas[Conta Financeira],X!$E$8,Saidas[Centro de Custos],X!$E$9)</f>
        <v>0</v>
      </c>
      <c r="I51" s="132">
        <f>SUMIFS(Saidas[Valores],Saidas[Data da Competência],"&gt;="&amp;I$7,Saidas[Data da Competência],"&lt;"&amp;EDATE(I$7,1),Saidas[Classificação],$B51,Saidas[Status],X!$E$7,Saidas[Conta Financeira],X!$E$8,Saidas[Centro de Custos],X!$E$9)</f>
        <v>0</v>
      </c>
      <c r="J51" s="132">
        <f>SUMIFS(Saidas[Valores],Saidas[Data da Competência],"&gt;="&amp;J$7,Saidas[Data da Competência],"&lt;"&amp;EDATE(J$7,1),Saidas[Classificação],$B51,Saidas[Status],X!$E$7,Saidas[Conta Financeira],X!$E$8,Saidas[Centro de Custos],X!$E$9)</f>
        <v>0</v>
      </c>
      <c r="K51" s="132">
        <f>SUMIFS(Saidas[Valores],Saidas[Data da Competência],"&gt;="&amp;K$7,Saidas[Data da Competência],"&lt;"&amp;EDATE(K$7,1),Saidas[Classificação],$B51,Saidas[Status],X!$E$7,Saidas[Conta Financeira],X!$E$8,Saidas[Centro de Custos],X!$E$9)</f>
        <v>0</v>
      </c>
      <c r="L51" s="132">
        <f>SUMIFS(Saidas[Valores],Saidas[Data da Competência],"&gt;="&amp;L$7,Saidas[Data da Competência],"&lt;"&amp;EDATE(L$7,1),Saidas[Classificação],$B51,Saidas[Status],X!$E$7,Saidas[Conta Financeira],X!$E$8,Saidas[Centro de Custos],X!$E$9)</f>
        <v>0</v>
      </c>
      <c r="M51" s="132">
        <f>SUMIFS(Saidas[Valores],Saidas[Data da Competência],"&gt;="&amp;M$7,Saidas[Data da Competência],"&lt;"&amp;EDATE(M$7,1),Saidas[Classificação],$B51,Saidas[Status],X!$E$7,Saidas[Conta Financeira],X!$E$8,Saidas[Centro de Custos],X!$E$9)</f>
        <v>0</v>
      </c>
      <c r="N51" s="132">
        <f>SUMIFS(Saidas[Valores],Saidas[Data da Competência],"&gt;="&amp;N$7,Saidas[Data da Competência],"&lt;"&amp;EDATE(N$7,1),Saidas[Classificação],$B51,Saidas[Status],X!$E$7,Saidas[Conta Financeira],X!$E$8,Saidas[Centro de Custos],X!$E$9)</f>
        <v>0</v>
      </c>
      <c r="O51" s="175">
        <f t="shared" si="10"/>
        <v>0</v>
      </c>
    </row>
    <row r="52">
      <c r="B52" s="131"/>
      <c r="C52" s="132">
        <f>SUMIFS(Saidas[Valores],Saidas[Data da Competência],"&gt;="&amp;C$7,Saidas[Data da Competência],"&lt;"&amp;EDATE(C$7,1),Saidas[Classificação],$B52,Saidas[Status],X!$E$7,Saidas[Conta Financeira],X!$E$8,Saidas[Centro de Custos],X!$E$9)</f>
        <v>0</v>
      </c>
      <c r="D52" s="132">
        <f>SUMIFS(Saidas[Valores],Saidas[Data da Competência],"&gt;="&amp;D$7,Saidas[Data da Competência],"&lt;"&amp;EDATE(D$7,1),Saidas[Classificação],$B52,Saidas[Status],X!$E$7,Saidas[Conta Financeira],X!$E$8,Saidas[Centro de Custos],X!$E$9)</f>
        <v>0</v>
      </c>
      <c r="E52" s="132">
        <f>SUMIFS(Saidas[Valores],Saidas[Data da Competência],"&gt;="&amp;E$7,Saidas[Data da Competência],"&lt;"&amp;EDATE(E$7,1),Saidas[Classificação],$B52,Saidas[Status],X!$E$7,Saidas[Conta Financeira],X!$E$8,Saidas[Centro de Custos],X!$E$9)</f>
        <v>0</v>
      </c>
      <c r="F52" s="132">
        <f>SUMIFS(Saidas[Valores],Saidas[Data da Competência],"&gt;="&amp;F$7,Saidas[Data da Competência],"&lt;"&amp;EDATE(F$7,1),Saidas[Classificação],$B52,Saidas[Status],X!$E$7,Saidas[Conta Financeira],X!$E$8,Saidas[Centro de Custos],X!$E$9)</f>
        <v>0</v>
      </c>
      <c r="G52" s="132">
        <f>SUMIFS(Saidas[Valores],Saidas[Data da Competência],"&gt;="&amp;G$7,Saidas[Data da Competência],"&lt;"&amp;EDATE(G$7,1),Saidas[Classificação],$B52,Saidas[Status],X!$E$7,Saidas[Conta Financeira],X!$E$8,Saidas[Centro de Custos],X!$E$9)</f>
        <v>0</v>
      </c>
      <c r="H52" s="132">
        <f>SUMIFS(Saidas[Valores],Saidas[Data da Competência],"&gt;="&amp;H$7,Saidas[Data da Competência],"&lt;"&amp;EDATE(H$7,1),Saidas[Classificação],$B52,Saidas[Status],X!$E$7,Saidas[Conta Financeira],X!$E$8,Saidas[Centro de Custos],X!$E$9)</f>
        <v>0</v>
      </c>
      <c r="I52" s="132">
        <f>SUMIFS(Saidas[Valores],Saidas[Data da Competência],"&gt;="&amp;I$7,Saidas[Data da Competência],"&lt;"&amp;EDATE(I$7,1),Saidas[Classificação],$B52,Saidas[Status],X!$E$7,Saidas[Conta Financeira],X!$E$8,Saidas[Centro de Custos],X!$E$9)</f>
        <v>0</v>
      </c>
      <c r="J52" s="132">
        <f>SUMIFS(Saidas[Valores],Saidas[Data da Competência],"&gt;="&amp;J$7,Saidas[Data da Competência],"&lt;"&amp;EDATE(J$7,1),Saidas[Classificação],$B52,Saidas[Status],X!$E$7,Saidas[Conta Financeira],X!$E$8,Saidas[Centro de Custos],X!$E$9)</f>
        <v>0</v>
      </c>
      <c r="K52" s="132">
        <f>SUMIFS(Saidas[Valores],Saidas[Data da Competência],"&gt;="&amp;K$7,Saidas[Data da Competência],"&lt;"&amp;EDATE(K$7,1),Saidas[Classificação],$B52,Saidas[Status],X!$E$7,Saidas[Conta Financeira],X!$E$8,Saidas[Centro de Custos],X!$E$9)</f>
        <v>0</v>
      </c>
      <c r="L52" s="132">
        <f>SUMIFS(Saidas[Valores],Saidas[Data da Competência],"&gt;="&amp;L$7,Saidas[Data da Competência],"&lt;"&amp;EDATE(L$7,1),Saidas[Classificação],$B52,Saidas[Status],X!$E$7,Saidas[Conta Financeira],X!$E$8,Saidas[Centro de Custos],X!$E$9)</f>
        <v>0</v>
      </c>
      <c r="M52" s="132">
        <f>SUMIFS(Saidas[Valores],Saidas[Data da Competência],"&gt;="&amp;M$7,Saidas[Data da Competência],"&lt;"&amp;EDATE(M$7,1),Saidas[Classificação],$B52,Saidas[Status],X!$E$7,Saidas[Conta Financeira],X!$E$8,Saidas[Centro de Custos],X!$E$9)</f>
        <v>0</v>
      </c>
      <c r="N52" s="132">
        <f>SUMIFS(Saidas[Valores],Saidas[Data da Competência],"&gt;="&amp;N$7,Saidas[Data da Competência],"&lt;"&amp;EDATE(N$7,1),Saidas[Classificação],$B52,Saidas[Status],X!$E$7,Saidas[Conta Financeira],X!$E$8,Saidas[Centro de Custos],X!$E$9)</f>
        <v>0</v>
      </c>
      <c r="O52" s="175">
        <f t="shared" si="10"/>
        <v>0</v>
      </c>
    </row>
    <row r="53">
      <c r="B53" s="131"/>
      <c r="C53" s="132">
        <f>SUMIFS(Saidas[Valores],Saidas[Data da Competência],"&gt;="&amp;C$7,Saidas[Data da Competência],"&lt;"&amp;EDATE(C$7,1),Saidas[Classificação],$B53,Saidas[Status],X!$E$7,Saidas[Conta Financeira],X!$E$8,Saidas[Centro de Custos],X!$E$9)</f>
        <v>0</v>
      </c>
      <c r="D53" s="132">
        <f>SUMIFS(Saidas[Valores],Saidas[Data da Competência],"&gt;="&amp;D$7,Saidas[Data da Competência],"&lt;"&amp;EDATE(D$7,1),Saidas[Classificação],$B53,Saidas[Status],X!$E$7,Saidas[Conta Financeira],X!$E$8,Saidas[Centro de Custos],X!$E$9)</f>
        <v>0</v>
      </c>
      <c r="E53" s="132">
        <f>SUMIFS(Saidas[Valores],Saidas[Data da Competência],"&gt;="&amp;E$7,Saidas[Data da Competência],"&lt;"&amp;EDATE(E$7,1),Saidas[Classificação],$B53,Saidas[Status],X!$E$7,Saidas[Conta Financeira],X!$E$8,Saidas[Centro de Custos],X!$E$9)</f>
        <v>0</v>
      </c>
      <c r="F53" s="132">
        <f>SUMIFS(Saidas[Valores],Saidas[Data da Competência],"&gt;="&amp;F$7,Saidas[Data da Competência],"&lt;"&amp;EDATE(F$7,1),Saidas[Classificação],$B53,Saidas[Status],X!$E$7,Saidas[Conta Financeira],X!$E$8,Saidas[Centro de Custos],X!$E$9)</f>
        <v>0</v>
      </c>
      <c r="G53" s="132">
        <f>SUMIFS(Saidas[Valores],Saidas[Data da Competência],"&gt;="&amp;G$7,Saidas[Data da Competência],"&lt;"&amp;EDATE(G$7,1),Saidas[Classificação],$B53,Saidas[Status],X!$E$7,Saidas[Conta Financeira],X!$E$8,Saidas[Centro de Custos],X!$E$9)</f>
        <v>0</v>
      </c>
      <c r="H53" s="132">
        <f>SUMIFS(Saidas[Valores],Saidas[Data da Competência],"&gt;="&amp;H$7,Saidas[Data da Competência],"&lt;"&amp;EDATE(H$7,1),Saidas[Classificação],$B53,Saidas[Status],X!$E$7,Saidas[Conta Financeira],X!$E$8,Saidas[Centro de Custos],X!$E$9)</f>
        <v>0</v>
      </c>
      <c r="I53" s="132">
        <f>SUMIFS(Saidas[Valores],Saidas[Data da Competência],"&gt;="&amp;I$7,Saidas[Data da Competência],"&lt;"&amp;EDATE(I$7,1),Saidas[Classificação],$B53,Saidas[Status],X!$E$7,Saidas[Conta Financeira],X!$E$8,Saidas[Centro de Custos],X!$E$9)</f>
        <v>0</v>
      </c>
      <c r="J53" s="132">
        <f>SUMIFS(Saidas[Valores],Saidas[Data da Competência],"&gt;="&amp;J$7,Saidas[Data da Competência],"&lt;"&amp;EDATE(J$7,1),Saidas[Classificação],$B53,Saidas[Status],X!$E$7,Saidas[Conta Financeira],X!$E$8,Saidas[Centro de Custos],X!$E$9)</f>
        <v>0</v>
      </c>
      <c r="K53" s="132">
        <f>SUMIFS(Saidas[Valores],Saidas[Data da Competência],"&gt;="&amp;K$7,Saidas[Data da Competência],"&lt;"&amp;EDATE(K$7,1),Saidas[Classificação],$B53,Saidas[Status],X!$E$7,Saidas[Conta Financeira],X!$E$8,Saidas[Centro de Custos],X!$E$9)</f>
        <v>0</v>
      </c>
      <c r="L53" s="132">
        <f>SUMIFS(Saidas[Valores],Saidas[Data da Competência],"&gt;="&amp;L$7,Saidas[Data da Competência],"&lt;"&amp;EDATE(L$7,1),Saidas[Classificação],$B53,Saidas[Status],X!$E$7,Saidas[Conta Financeira],X!$E$8,Saidas[Centro de Custos],X!$E$9)</f>
        <v>0</v>
      </c>
      <c r="M53" s="132">
        <f>SUMIFS(Saidas[Valores],Saidas[Data da Competência],"&gt;="&amp;M$7,Saidas[Data da Competência],"&lt;"&amp;EDATE(M$7,1),Saidas[Classificação],$B53,Saidas[Status],X!$E$7,Saidas[Conta Financeira],X!$E$8,Saidas[Centro de Custos],X!$E$9)</f>
        <v>0</v>
      </c>
      <c r="N53" s="132">
        <f>SUMIFS(Saidas[Valores],Saidas[Data da Competência],"&gt;="&amp;N$7,Saidas[Data da Competência],"&lt;"&amp;EDATE(N$7,1),Saidas[Classificação],$B53,Saidas[Status],X!$E$7,Saidas[Conta Financeira],X!$E$8,Saidas[Centro de Custos],X!$E$9)</f>
        <v>0</v>
      </c>
      <c r="O53" s="175">
        <f t="shared" si="10"/>
        <v>0</v>
      </c>
    </row>
    <row r="54">
      <c r="B54" s="131"/>
      <c r="C54" s="132">
        <f>SUMIFS(Saidas[Valores],Saidas[Data da Competência],"&gt;="&amp;C$7,Saidas[Data da Competência],"&lt;"&amp;EDATE(C$7,1),Saidas[Classificação],$B54,Saidas[Status],X!$E$7,Saidas[Conta Financeira],X!$E$8,Saidas[Centro de Custos],X!$E$9)</f>
        <v>0</v>
      </c>
      <c r="D54" s="132">
        <f>SUMIFS(Saidas[Valores],Saidas[Data da Competência],"&gt;="&amp;D$7,Saidas[Data da Competência],"&lt;"&amp;EDATE(D$7,1),Saidas[Classificação],$B54,Saidas[Status],X!$E$7,Saidas[Conta Financeira],X!$E$8,Saidas[Centro de Custos],X!$E$9)</f>
        <v>0</v>
      </c>
      <c r="E54" s="132">
        <f>SUMIFS(Saidas[Valores],Saidas[Data da Competência],"&gt;="&amp;E$7,Saidas[Data da Competência],"&lt;"&amp;EDATE(E$7,1),Saidas[Classificação],$B54,Saidas[Status],X!$E$7,Saidas[Conta Financeira],X!$E$8,Saidas[Centro de Custos],X!$E$9)</f>
        <v>0</v>
      </c>
      <c r="F54" s="132">
        <f>SUMIFS(Saidas[Valores],Saidas[Data da Competência],"&gt;="&amp;F$7,Saidas[Data da Competência],"&lt;"&amp;EDATE(F$7,1),Saidas[Classificação],$B54,Saidas[Status],X!$E$7,Saidas[Conta Financeira],X!$E$8,Saidas[Centro de Custos],X!$E$9)</f>
        <v>0</v>
      </c>
      <c r="G54" s="132">
        <f>SUMIFS(Saidas[Valores],Saidas[Data da Competência],"&gt;="&amp;G$7,Saidas[Data da Competência],"&lt;"&amp;EDATE(G$7,1),Saidas[Classificação],$B54,Saidas[Status],X!$E$7,Saidas[Conta Financeira],X!$E$8,Saidas[Centro de Custos],X!$E$9)</f>
        <v>0</v>
      </c>
      <c r="H54" s="132">
        <f>SUMIFS(Saidas[Valores],Saidas[Data da Competência],"&gt;="&amp;H$7,Saidas[Data da Competência],"&lt;"&amp;EDATE(H$7,1),Saidas[Classificação],$B54,Saidas[Status],X!$E$7,Saidas[Conta Financeira],X!$E$8,Saidas[Centro de Custos],X!$E$9)</f>
        <v>0</v>
      </c>
      <c r="I54" s="132">
        <f>SUMIFS(Saidas[Valores],Saidas[Data da Competência],"&gt;="&amp;I$7,Saidas[Data da Competência],"&lt;"&amp;EDATE(I$7,1),Saidas[Classificação],$B54,Saidas[Status],X!$E$7,Saidas[Conta Financeira],X!$E$8,Saidas[Centro de Custos],X!$E$9)</f>
        <v>0</v>
      </c>
      <c r="J54" s="132">
        <f>SUMIFS(Saidas[Valores],Saidas[Data da Competência],"&gt;="&amp;J$7,Saidas[Data da Competência],"&lt;"&amp;EDATE(J$7,1),Saidas[Classificação],$B54,Saidas[Status],X!$E$7,Saidas[Conta Financeira],X!$E$8,Saidas[Centro de Custos],X!$E$9)</f>
        <v>0</v>
      </c>
      <c r="K54" s="132">
        <f>SUMIFS(Saidas[Valores],Saidas[Data da Competência],"&gt;="&amp;K$7,Saidas[Data da Competência],"&lt;"&amp;EDATE(K$7,1),Saidas[Classificação],$B54,Saidas[Status],X!$E$7,Saidas[Conta Financeira],X!$E$8,Saidas[Centro de Custos],X!$E$9)</f>
        <v>0</v>
      </c>
      <c r="L54" s="132">
        <f>SUMIFS(Saidas[Valores],Saidas[Data da Competência],"&gt;="&amp;L$7,Saidas[Data da Competência],"&lt;"&amp;EDATE(L$7,1),Saidas[Classificação],$B54,Saidas[Status],X!$E$7,Saidas[Conta Financeira],X!$E$8,Saidas[Centro de Custos],X!$E$9)</f>
        <v>0</v>
      </c>
      <c r="M54" s="132">
        <f>SUMIFS(Saidas[Valores],Saidas[Data da Competência],"&gt;="&amp;M$7,Saidas[Data da Competência],"&lt;"&amp;EDATE(M$7,1),Saidas[Classificação],$B54,Saidas[Status],X!$E$7,Saidas[Conta Financeira],X!$E$8,Saidas[Centro de Custos],X!$E$9)</f>
        <v>0</v>
      </c>
      <c r="N54" s="132">
        <f>SUMIFS(Saidas[Valores],Saidas[Data da Competência],"&gt;="&amp;N$7,Saidas[Data da Competência],"&lt;"&amp;EDATE(N$7,1),Saidas[Classificação],$B54,Saidas[Status],X!$E$7,Saidas[Conta Financeira],X!$E$8,Saidas[Centro de Custos],X!$E$9)</f>
        <v>0</v>
      </c>
      <c r="O54" s="175">
        <f t="shared" si="10"/>
        <v>0</v>
      </c>
    </row>
    <row r="55">
      <c r="B55" s="131"/>
      <c r="C55" s="132">
        <f>SUMIFS(Saidas[Valores],Saidas[Data da Competência],"&gt;="&amp;C$7,Saidas[Data da Competência],"&lt;"&amp;EDATE(C$7,1),Saidas[Classificação],$B55,Saidas[Status],X!$E$7,Saidas[Conta Financeira],X!$E$8,Saidas[Centro de Custos],X!$E$9)</f>
        <v>0</v>
      </c>
      <c r="D55" s="132">
        <f>SUMIFS(Saidas[Valores],Saidas[Data da Competência],"&gt;="&amp;D$7,Saidas[Data da Competência],"&lt;"&amp;EDATE(D$7,1),Saidas[Classificação],$B55,Saidas[Status],X!$E$7,Saidas[Conta Financeira],X!$E$8,Saidas[Centro de Custos],X!$E$9)</f>
        <v>0</v>
      </c>
      <c r="E55" s="132">
        <f>SUMIFS(Saidas[Valores],Saidas[Data da Competência],"&gt;="&amp;E$7,Saidas[Data da Competência],"&lt;"&amp;EDATE(E$7,1),Saidas[Classificação],$B55,Saidas[Status],X!$E$7,Saidas[Conta Financeira],X!$E$8,Saidas[Centro de Custos],X!$E$9)</f>
        <v>0</v>
      </c>
      <c r="F55" s="132">
        <f>SUMIFS(Saidas[Valores],Saidas[Data da Competência],"&gt;="&amp;F$7,Saidas[Data da Competência],"&lt;"&amp;EDATE(F$7,1),Saidas[Classificação],$B55,Saidas[Status],X!$E$7,Saidas[Conta Financeira],X!$E$8,Saidas[Centro de Custos],X!$E$9)</f>
        <v>0</v>
      </c>
      <c r="G55" s="132">
        <f>SUMIFS(Saidas[Valores],Saidas[Data da Competência],"&gt;="&amp;G$7,Saidas[Data da Competência],"&lt;"&amp;EDATE(G$7,1),Saidas[Classificação],$B55,Saidas[Status],X!$E$7,Saidas[Conta Financeira],X!$E$8,Saidas[Centro de Custos],X!$E$9)</f>
        <v>0</v>
      </c>
      <c r="H55" s="132">
        <f>SUMIFS(Saidas[Valores],Saidas[Data da Competência],"&gt;="&amp;H$7,Saidas[Data da Competência],"&lt;"&amp;EDATE(H$7,1),Saidas[Classificação],$B55,Saidas[Status],X!$E$7,Saidas[Conta Financeira],X!$E$8,Saidas[Centro de Custos],X!$E$9)</f>
        <v>0</v>
      </c>
      <c r="I55" s="132">
        <f>SUMIFS(Saidas[Valores],Saidas[Data da Competência],"&gt;="&amp;I$7,Saidas[Data da Competência],"&lt;"&amp;EDATE(I$7,1),Saidas[Classificação],$B55,Saidas[Status],X!$E$7,Saidas[Conta Financeira],X!$E$8,Saidas[Centro de Custos],X!$E$9)</f>
        <v>0</v>
      </c>
      <c r="J55" s="132">
        <f>SUMIFS(Saidas[Valores],Saidas[Data da Competência],"&gt;="&amp;J$7,Saidas[Data da Competência],"&lt;"&amp;EDATE(J$7,1),Saidas[Classificação],$B55,Saidas[Status],X!$E$7,Saidas[Conta Financeira],X!$E$8,Saidas[Centro de Custos],X!$E$9)</f>
        <v>0</v>
      </c>
      <c r="K55" s="132">
        <f>SUMIFS(Saidas[Valores],Saidas[Data da Competência],"&gt;="&amp;K$7,Saidas[Data da Competência],"&lt;"&amp;EDATE(K$7,1),Saidas[Classificação],$B55,Saidas[Status],X!$E$7,Saidas[Conta Financeira],X!$E$8,Saidas[Centro de Custos],X!$E$9)</f>
        <v>0</v>
      </c>
      <c r="L55" s="132">
        <f>SUMIFS(Saidas[Valores],Saidas[Data da Competência],"&gt;="&amp;L$7,Saidas[Data da Competência],"&lt;"&amp;EDATE(L$7,1),Saidas[Classificação],$B55,Saidas[Status],X!$E$7,Saidas[Conta Financeira],X!$E$8,Saidas[Centro de Custos],X!$E$9)</f>
        <v>0</v>
      </c>
      <c r="M55" s="132">
        <f>SUMIFS(Saidas[Valores],Saidas[Data da Competência],"&gt;="&amp;M$7,Saidas[Data da Competência],"&lt;"&amp;EDATE(M$7,1),Saidas[Classificação],$B55,Saidas[Status],X!$E$7,Saidas[Conta Financeira],X!$E$8,Saidas[Centro de Custos],X!$E$9)</f>
        <v>0</v>
      </c>
      <c r="N55" s="132">
        <f>SUMIFS(Saidas[Valores],Saidas[Data da Competência],"&gt;="&amp;N$7,Saidas[Data da Competência],"&lt;"&amp;EDATE(N$7,1),Saidas[Classificação],$B55,Saidas[Status],X!$E$7,Saidas[Conta Financeira],X!$E$8,Saidas[Centro de Custos],X!$E$9)</f>
        <v>0</v>
      </c>
      <c r="O55" s="175">
        <f t="shared" si="10"/>
        <v>0</v>
      </c>
    </row>
  </sheetData>
  <mergeCells count="1">
    <mergeCell ref="E4:M4"/>
  </mergeCells>
  <dataValidations>
    <dataValidation type="list" allowBlank="1" showErrorMessage="1" sqref="H5">
      <formula1>"Previsto,Realizado,Ambos"</formula1>
    </dataValidation>
    <dataValidation type="list" allowBlank="1" showErrorMessage="1" sqref="B31">
      <formula1>Categorias</formula1>
    </dataValidation>
    <dataValidation type="list" allowBlank="1" showErrorMessage="1" sqref="M5">
      <formula1>Tcentrocustos</formula1>
    </dataValidation>
    <dataValidation type="list" allowBlank="1" showErrorMessage="1" sqref="J5">
      <formula1>Tbancos</formula1>
    </dataValidation>
    <dataValidation type="list" allowBlank="1" showErrorMessage="1" sqref="F5">
      <formula1>"2022,2023,2024,2025,2026,2027,2028,2029,2030"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24.5"/>
    <col customWidth="1" min="3" max="3" width="17.25"/>
    <col customWidth="1" min="4" max="4" width="12.38"/>
    <col customWidth="1" min="5" max="5" width="24.13"/>
    <col customWidth="1" min="6" max="6" width="18.63"/>
    <col customWidth="1" min="7" max="7" width="8.5"/>
    <col customWidth="1" min="8" max="8" width="2.88"/>
    <col customWidth="1" min="9" max="9" width="27.63"/>
    <col customWidth="1" min="10" max="10" width="16.63"/>
    <col customWidth="1" min="11" max="11" width="1.75"/>
  </cols>
  <sheetData>
    <row r="1" ht="8.25" customHeight="1">
      <c r="A1" s="9"/>
      <c r="B1" s="9"/>
      <c r="C1" s="9"/>
      <c r="D1" s="108"/>
      <c r="E1" s="122"/>
      <c r="F1" s="123"/>
      <c r="G1" s="123"/>
      <c r="H1" s="9"/>
      <c r="I1" s="9"/>
    </row>
    <row r="2" ht="19.5" customHeight="1">
      <c r="A2" s="9"/>
      <c r="B2" s="81" t="s">
        <v>195</v>
      </c>
      <c r="D2" s="81"/>
      <c r="E2" s="133" t="s">
        <v>194</v>
      </c>
      <c r="F2" s="12"/>
      <c r="G2" s="12"/>
    </row>
    <row r="3">
      <c r="A3" s="9"/>
      <c r="B3" s="75"/>
      <c r="C3" s="76"/>
      <c r="E3" s="131" t="str">
        <f>X!$V$2</f>
        <v>Receitas Operacionais</v>
      </c>
      <c r="F3" s="132">
        <f>SUMIFS(Entradas[Valores],Entradas[Data da Competência],"&gt;="&amp;$C$4,Entradas[Data da Competência],"&lt;"&amp;$D$5,Entradas[Categoria],$E3,Entradas[Status],X!$E$13,Entradas[Centro de Custos],X!$E$14)</f>
        <v>25250</v>
      </c>
      <c r="G3" s="134">
        <f>F3/F5</f>
        <v>1</v>
      </c>
      <c r="I3" s="135" t="s">
        <v>196</v>
      </c>
      <c r="J3" s="136">
        <f>G22</f>
        <v>-0.8648712871</v>
      </c>
      <c r="L3" s="137"/>
    </row>
    <row r="4">
      <c r="A4" s="9"/>
      <c r="B4" s="82" t="s">
        <v>197</v>
      </c>
      <c r="C4" s="138">
        <v>45901.0</v>
      </c>
      <c r="E4" s="131" t="str">
        <f>X!$V$3</f>
        <v>Outras Receitas Operacionais</v>
      </c>
      <c r="F4" s="132">
        <f>SUMIFS(Entradas[Valores],Entradas[Data da Competência],"&gt;="&amp;$C$4,Entradas[Data da Competência],"&lt;"&amp;$D$5,Entradas[Categoria],$E4,Entradas[Status],X!$E$13,Entradas[Centro de Custos],X!$E$14)</f>
        <v>0</v>
      </c>
      <c r="G4" s="134">
        <f>F4/F5</f>
        <v>0</v>
      </c>
      <c r="I4" s="139">
        <f>F22</f>
        <v>-21838</v>
      </c>
      <c r="L4" s="137"/>
    </row>
    <row r="5">
      <c r="A5" s="9"/>
      <c r="B5" s="82" t="s">
        <v>198</v>
      </c>
      <c r="C5" s="138">
        <v>46022.0</v>
      </c>
      <c r="D5" s="140">
        <f>C5+1</f>
        <v>46023</v>
      </c>
      <c r="E5" s="141" t="s">
        <v>199</v>
      </c>
      <c r="F5" s="142">
        <f>F3+F4</f>
        <v>25250</v>
      </c>
      <c r="G5" s="143">
        <f>F5/F5</f>
        <v>1</v>
      </c>
      <c r="L5" s="137"/>
    </row>
    <row r="6">
      <c r="A6" s="9"/>
      <c r="B6" s="89" t="s">
        <v>176</v>
      </c>
      <c r="C6" s="83" t="s">
        <v>173</v>
      </c>
      <c r="D6" s="127"/>
      <c r="E6" s="131" t="str">
        <f>X!$V$13</f>
        <v>Impostos</v>
      </c>
      <c r="F6" s="132">
        <f>SUMIFS(Saidas[Valores],Saidas[Data da Competência],"&gt;="&amp;$C$4,Saidas[Data da Competência],"&lt;"&amp;$D$5,Saidas[Categoria],$E6,Saidas[Status],X!$E$13,Saidas[Centro de Custos],X!$E$14)</f>
        <v>650</v>
      </c>
      <c r="G6" s="134">
        <f t="shared" ref="G6:G22" si="1">F6/$F$5</f>
        <v>0.02574257426</v>
      </c>
      <c r="L6" s="137"/>
    </row>
    <row r="7">
      <c r="A7" s="9"/>
      <c r="B7" s="82" t="s">
        <v>185</v>
      </c>
      <c r="C7" s="87" t="s">
        <v>191</v>
      </c>
      <c r="D7" s="144"/>
      <c r="E7" s="131" t="str">
        <f>X!$V$6</f>
        <v>Deduções sobre vendas</v>
      </c>
      <c r="F7" s="132">
        <f>SUMIFS(Saidas[Valores],Saidas[Data da Competência],"&gt;="&amp;$C$4,Saidas[Data da Competência],"&lt;"&amp;$D$5,Saidas[Categoria],$E7,Saidas[Status],X!$E$13,Saidas[Centro de Custos],X!$E$14)</f>
        <v>925</v>
      </c>
      <c r="G7" s="134">
        <f t="shared" si="1"/>
        <v>0.03663366337</v>
      </c>
      <c r="I7" s="135" t="s">
        <v>200</v>
      </c>
      <c r="J7" s="136">
        <f>G15</f>
        <v>-1.280712871</v>
      </c>
      <c r="L7" s="137"/>
    </row>
    <row r="8">
      <c r="A8" s="9"/>
      <c r="B8" s="145"/>
      <c r="C8" s="146"/>
      <c r="D8" s="145"/>
      <c r="E8" s="141" t="s">
        <v>201</v>
      </c>
      <c r="F8" s="142">
        <f>F5-F6-F7</f>
        <v>23675</v>
      </c>
      <c r="G8" s="143">
        <f t="shared" si="1"/>
        <v>0.9376237624</v>
      </c>
      <c r="I8" s="139">
        <f>F15</f>
        <v>-32338</v>
      </c>
      <c r="L8" s="137"/>
    </row>
    <row r="9">
      <c r="A9" s="9"/>
      <c r="B9" s="147" t="s">
        <v>202</v>
      </c>
      <c r="C9" s="148">
        <f>B10/F5</f>
        <v>1.868910891</v>
      </c>
      <c r="D9" s="145"/>
      <c r="E9" s="131" t="str">
        <f>X!$V$7</f>
        <v>Custo das Vendas</v>
      </c>
      <c r="F9" s="132">
        <f>SUMIFS(Saidas[Valores],Saidas[Data da Competência],"&gt;="&amp;$C$4,Saidas[Data da Competência],"&lt;"&amp;$D$5,Saidas[Categoria],$E9,Saidas[Status],X!$E$13,Saidas[Centro de Custos],X!$E$14)</f>
        <v>8823</v>
      </c>
      <c r="G9" s="134">
        <f t="shared" si="1"/>
        <v>0.3494257426</v>
      </c>
      <c r="L9" s="137"/>
    </row>
    <row r="10">
      <c r="A10" s="9"/>
      <c r="B10" s="154">
        <f>F11+F12+F13+F14</f>
        <v>47190</v>
      </c>
      <c r="D10" s="145"/>
      <c r="E10" s="141" t="s">
        <v>203</v>
      </c>
      <c r="F10" s="142">
        <f>F8-F9</f>
        <v>14852</v>
      </c>
      <c r="G10" s="143">
        <f t="shared" si="1"/>
        <v>0.5881980198</v>
      </c>
      <c r="H10" s="158"/>
      <c r="I10" s="137"/>
      <c r="L10" s="137"/>
    </row>
    <row r="11">
      <c r="A11" s="9"/>
      <c r="D11" s="145"/>
      <c r="E11" s="131" t="str">
        <f>X!$V$8</f>
        <v>Despesas administrativas</v>
      </c>
      <c r="F11" s="132">
        <f>SUMIFS(Saidas[Valores],Saidas[Data da Competência],"&gt;="&amp;$C$4,Saidas[Data da Competência],"&lt;"&amp;$D$5,Saidas[Categoria],$E11,Saidas[Status],X!$E$13,Saidas[Centro de Custos],X!$E$14)</f>
        <v>4270</v>
      </c>
      <c r="G11" s="134">
        <f t="shared" si="1"/>
        <v>0.1691089109</v>
      </c>
      <c r="I11" s="135" t="s">
        <v>211</v>
      </c>
      <c r="J11" s="136">
        <f>G10</f>
        <v>0.5881980198</v>
      </c>
      <c r="L11" s="137"/>
    </row>
    <row r="12">
      <c r="A12" s="9"/>
      <c r="B12" s="166"/>
      <c r="C12" s="168"/>
      <c r="D12" s="145"/>
      <c r="E12" s="131" t="str">
        <f>X!$V$9</f>
        <v>Despesa com Pessoal</v>
      </c>
      <c r="F12" s="132">
        <f>SUMIFS(Saidas[Valores],Saidas[Data da Competência],"&gt;="&amp;$C$4,Saidas[Data da Competência],"&lt;"&amp;$D$5,Saidas[Categoria],$E12,Saidas[Status],X!$E$13,Saidas[Centro de Custos],X!$E$14)</f>
        <v>7920</v>
      </c>
      <c r="G12" s="134">
        <f t="shared" si="1"/>
        <v>0.3136633663</v>
      </c>
      <c r="I12" s="139">
        <f>F10</f>
        <v>14852</v>
      </c>
      <c r="L12" s="137"/>
    </row>
    <row r="13">
      <c r="A13" s="9"/>
      <c r="B13" s="147" t="s">
        <v>212</v>
      </c>
      <c r="C13" s="148">
        <f>B14/F5</f>
        <v>0.4118019802</v>
      </c>
      <c r="D13" s="145"/>
      <c r="E13" s="131" t="str">
        <f>X!$V$11</f>
        <v>Despesa Financeira</v>
      </c>
      <c r="F13" s="132">
        <f>SUMIFS(Saidas[Valores],Saidas[Data da Competência],"&gt;="&amp;$C$4,Saidas[Data da Competência],"&lt;"&amp;$D$5,Saidas[Categoria],$E13,Saidas[Status],X!$E$13,Saidas[Centro de Custos],X!$E$14)</f>
        <v>0</v>
      </c>
      <c r="G13" s="134">
        <f t="shared" si="1"/>
        <v>0</v>
      </c>
      <c r="L13" s="137"/>
    </row>
    <row r="14">
      <c r="A14" s="9"/>
      <c r="B14" s="154">
        <f>F6+F7+F9</f>
        <v>10398</v>
      </c>
      <c r="D14" s="145"/>
      <c r="E14" s="131" t="str">
        <f>X!$V$12</f>
        <v>Despesas não operacionais</v>
      </c>
      <c r="F14" s="132">
        <f>SUMIFS(Saidas[Valores],Saidas[Data da Competência],"&gt;="&amp;$C$4,Saidas[Data da Competência],"&lt;"&amp;$D$5,Saidas[Categoria],$E14,Saidas[Status],X!$E$13,Saidas[Centro de Custos],X!$E$14)</f>
        <v>35000</v>
      </c>
      <c r="G14" s="134">
        <f t="shared" si="1"/>
        <v>1.386138614</v>
      </c>
      <c r="I14" s="9"/>
      <c r="L14" s="137"/>
    </row>
    <row r="15">
      <c r="A15" s="9"/>
      <c r="D15" s="145"/>
      <c r="E15" s="141" t="s">
        <v>215</v>
      </c>
      <c r="F15" s="142">
        <f>F10-F13-F11-F12-F14</f>
        <v>-32338</v>
      </c>
      <c r="G15" s="143">
        <f t="shared" si="1"/>
        <v>-1.280712871</v>
      </c>
      <c r="I15" s="135" t="s">
        <v>216</v>
      </c>
      <c r="J15" s="136">
        <f>G9</f>
        <v>0.3494257426</v>
      </c>
      <c r="L15" s="137"/>
    </row>
    <row r="16">
      <c r="A16" s="9"/>
      <c r="B16" s="174"/>
      <c r="C16" s="168"/>
      <c r="D16" s="145"/>
      <c r="E16" s="131" t="str">
        <f>X!$V$4</f>
        <v>Receitas Financeiras</v>
      </c>
      <c r="F16" s="132">
        <f>SUMIFS(Entradas[Valores],Entradas[Data da Competência],"&gt;="&amp;$C$4,Entradas[Data da Competência],"&lt;"&amp;$D$5,Entradas[Categoria],$E16,Entradas[Status],X!$E$13,Entradas[Centro de Custos],X!$E$14)</f>
        <v>0</v>
      </c>
      <c r="G16" s="134">
        <f t="shared" si="1"/>
        <v>0</v>
      </c>
      <c r="I16" s="139">
        <f>F9</f>
        <v>8823</v>
      </c>
      <c r="L16" s="137"/>
    </row>
    <row r="17">
      <c r="A17" s="9"/>
      <c r="B17" s="177" t="s">
        <v>217</v>
      </c>
      <c r="D17" s="145"/>
      <c r="E17" s="131" t="str">
        <f>X!$V$11</f>
        <v>Despesa Financeira</v>
      </c>
      <c r="F17" s="132">
        <f>SUMIFS(Saidas[Valores],Saidas[Data da Competência],"&gt;="&amp;$C$4,Saidas[Data da Competência],"&lt;"&amp;$D$5,Saidas[Categoria],$E17,Saidas[Status],X!$E$13,Saidas[Centro de Custos],X!$E$14)</f>
        <v>0</v>
      </c>
      <c r="G17" s="134">
        <f t="shared" si="1"/>
        <v>0</v>
      </c>
      <c r="L17" s="137"/>
    </row>
    <row r="18">
      <c r="A18" s="9"/>
      <c r="B18" s="180">
        <f>IF(C13&gt;1,"Esse projeto não tem como se pagar", B10/(1-C13))</f>
        <v>80228.08376</v>
      </c>
      <c r="D18" s="145"/>
      <c r="E18" s="131" t="str">
        <f>X!$V$5</f>
        <v>Receitas não operacionais</v>
      </c>
      <c r="F18" s="132">
        <f>SUMIFS(Entradas[Valores],Entradas[Data da Competência],"&gt;="&amp;$C$4,Entradas[Data da Competência],"&lt;"&amp;$D$5,Entradas[Categoria],$E18,Entradas[Status],X!$E$13,Entradas[Centro de Custos],X!$E$14)</f>
        <v>10500</v>
      </c>
      <c r="G18" s="134">
        <f t="shared" si="1"/>
        <v>0.4158415842</v>
      </c>
      <c r="I18" s="9"/>
    </row>
    <row r="19">
      <c r="A19" s="9"/>
      <c r="D19" s="145"/>
      <c r="E19" s="131" t="str">
        <f>X!$V$14</f>
        <v>Participação e Dividendos</v>
      </c>
      <c r="F19" s="132">
        <f>SUMIFS(Saidas[Valores],Saidas[Data da Competência],"&gt;="&amp;$C$4,Saidas[Data da Competência],"&lt;"&amp;$D$5,Saidas[Categoria],$E19,Saidas[Status],X!$E$13,Saidas[Centro de Custos],X!$E$14)</f>
        <v>0</v>
      </c>
      <c r="G19" s="134">
        <f t="shared" si="1"/>
        <v>0</v>
      </c>
      <c r="H19" s="145"/>
      <c r="I19" s="9"/>
    </row>
    <row r="20">
      <c r="A20" s="9"/>
      <c r="B20" s="145"/>
      <c r="C20" s="145"/>
      <c r="D20" s="145"/>
      <c r="E20" s="141" t="s">
        <v>219</v>
      </c>
      <c r="F20" s="142">
        <f>F15+F16-F17+F18-F19</f>
        <v>-21838</v>
      </c>
      <c r="G20" s="143">
        <f t="shared" si="1"/>
        <v>-0.8648712871</v>
      </c>
      <c r="H20" s="145"/>
      <c r="I20" s="9"/>
    </row>
    <row r="21">
      <c r="A21" s="9"/>
      <c r="B21" s="145"/>
      <c r="C21" s="145"/>
      <c r="D21" s="145"/>
      <c r="E21" s="131" t="str">
        <f>X!$V$15</f>
        <v/>
      </c>
      <c r="F21" s="132">
        <f>SUMIFS(Saidas[Valores],Saidas[Data da Competência],"&gt;="&amp;$C$4,Saidas[Data da Competência],"&lt;"&amp;$D$5,Saidas[Categoria],$E21,Saidas[Status],X!$E$13,Saidas[Centro de Custos],X!$E$14)</f>
        <v>0</v>
      </c>
      <c r="G21" s="134">
        <f t="shared" si="1"/>
        <v>0</v>
      </c>
      <c r="H21" s="145"/>
      <c r="I21" s="9">
        <f>48/6</f>
        <v>8</v>
      </c>
    </row>
    <row r="22">
      <c r="A22" s="9"/>
      <c r="B22" s="145"/>
      <c r="C22" s="145"/>
      <c r="D22" s="145"/>
      <c r="E22" s="190" t="s">
        <v>220</v>
      </c>
      <c r="F22" s="191">
        <f>F20-F21</f>
        <v>-21838</v>
      </c>
      <c r="G22" s="192">
        <f t="shared" si="1"/>
        <v>-0.8648712871</v>
      </c>
      <c r="H22" s="145"/>
      <c r="I22" s="9"/>
    </row>
    <row r="23">
      <c r="A23" s="9"/>
      <c r="B23" s="145"/>
      <c r="C23" s="145"/>
      <c r="D23" s="145"/>
      <c r="E23" s="145"/>
      <c r="F23" s="145"/>
      <c r="G23" s="145"/>
      <c r="H23" s="145"/>
      <c r="I23" s="9"/>
    </row>
    <row r="24">
      <c r="A24" s="9"/>
      <c r="B24" s="145"/>
      <c r="C24" s="145"/>
      <c r="D24" s="145"/>
      <c r="E24" s="145"/>
      <c r="F24" s="145"/>
      <c r="G24" s="145"/>
      <c r="H24" s="145"/>
      <c r="I24" s="9"/>
    </row>
    <row r="25">
      <c r="A25" s="9"/>
      <c r="B25" s="193" t="s">
        <v>221</v>
      </c>
      <c r="C25" s="12"/>
      <c r="E25" s="193" t="s">
        <v>222</v>
      </c>
      <c r="F25" s="12"/>
      <c r="G25" s="145"/>
      <c r="H25" s="145"/>
      <c r="I25" s="193" t="s">
        <v>223</v>
      </c>
      <c r="J25" s="12"/>
    </row>
    <row r="26">
      <c r="A26" s="9"/>
      <c r="B26" s="194" t="str">
        <f>IFERROR(__xludf.DUMMYFUNCTION("IFERROR(
  QUERY(
    FILTER(
      {Entradas[Cliente],Entradas[Valores],Entradas[Data do Recebimento]},
      Entradas[Cliente]&lt;&gt;""-"",
      Entradas[Data do Recebimento]&gt;=RESUMO!$C$4,
      Entradas[Data do Recebimento]&lt;=RESUMO!$C$5
    ),
    ""select"&amp;" Col1, sum(Col2)
     where Col1 is not null
     group by Col1
     order by sum(Col2) desc
     limit 5000
     label Col1 'Cliente', sum(Col2) 'Total'"",
    0
  ),
  ""Sem dados no período""
)
"),"Cliente")</f>
        <v>Cliente</v>
      </c>
      <c r="C26" s="194" t="str">
        <f>IFERROR(__xludf.DUMMYFUNCTION("""COMPUTED_VALUE"""),"Total")</f>
        <v>Total</v>
      </c>
      <c r="E26" s="194" t="str">
        <f>IFERROR(__xludf.DUMMYFUNCTION("IFERROR(
  QUERY(
    FILTER(
      {Saidas[Fornecedor],Saidas[Valores],Saidas[Data do Pagamento]},
      Saidas[Fornecedor]&lt;&gt;""-"",
      Saidas[Data do Pagamento]&gt;=RESUMO!$C$4,
      Saidas[Data do Pagamento]&lt;=RESUMO!$C$5
    ),
    ""select Col1, sum(C"&amp;"ol2)
     where Col1 is not null
     group by Col1
     order by sum(Col2) desc
     limit 100
     label Col1 'Fornecedor', sum(Col2) 'Total'"",
    0
  ),
  ""Sem dados no período""
)
"),"Fornecedor")</f>
        <v>Fornecedor</v>
      </c>
      <c r="F26" s="195" t="str">
        <f>IFERROR(__xludf.DUMMYFUNCTION("""COMPUTED_VALUE"""),"Total")</f>
        <v>Total</v>
      </c>
      <c r="G26" s="145"/>
      <c r="H26" s="145"/>
      <c r="I26" s="196" t="str">
        <f>X!V2</f>
        <v>Receitas Operacionais</v>
      </c>
      <c r="J26" s="195">
        <f>SUMIFS(Entradas[Valores],Entradas[Categoria],I26,Entradas[Data da Competência],"&gt;="&amp;$C$4,Entradas[Data da Competência],"&lt;"&amp;$D$5)</f>
        <v>25250</v>
      </c>
    </row>
    <row r="27">
      <c r="A27" s="9"/>
      <c r="B27" s="201" t="str">
        <f>IFERROR(__xludf.DUMMYFUNCTION("""COMPUTED_VALUE"""),"Luiz Castro")</f>
        <v>Luiz Castro</v>
      </c>
      <c r="C27" s="203">
        <f>IFERROR(__xludf.DUMMYFUNCTION("""COMPUTED_VALUE"""),9500.0)</f>
        <v>9500</v>
      </c>
      <c r="E27" s="201" t="str">
        <f>IFERROR(__xludf.DUMMYFUNCTION("""COMPUTED_VALUE"""),"Fornecedor 01")</f>
        <v>Fornecedor 01</v>
      </c>
      <c r="F27" s="203">
        <f>IFERROR(__xludf.DUMMYFUNCTION("""COMPUTED_VALUE"""),40713.0)</f>
        <v>40713</v>
      </c>
      <c r="G27" s="204"/>
      <c r="H27" s="204"/>
      <c r="I27" s="205" t="str">
        <f>X!V3</f>
        <v>Outras Receitas Operacionais</v>
      </c>
      <c r="J27" s="203">
        <f>SUMIFS(Entradas[Valores],Entradas[Categoria],I27,Entradas[Data da Competência],"&gt;="&amp;$C$4,Entradas[Data da Competência],"&lt;"&amp;$D$5)</f>
        <v>0</v>
      </c>
    </row>
    <row r="28">
      <c r="A28" s="9"/>
      <c r="B28" s="201" t="str">
        <f>IFERROR(__xludf.DUMMYFUNCTION("""COMPUTED_VALUE"""),"Rafael Paiva")</f>
        <v>Rafael Paiva</v>
      </c>
      <c r="C28" s="203">
        <f>IFERROR(__xludf.DUMMYFUNCTION("""COMPUTED_VALUE"""),9400.0)</f>
        <v>9400</v>
      </c>
      <c r="E28" s="201" t="str">
        <f>IFERROR(__xludf.DUMMYFUNCTION("""COMPUTED_VALUE"""),"Fornecedor 03")</f>
        <v>Fornecedor 03</v>
      </c>
      <c r="F28" s="203">
        <f>IFERROR(__xludf.DUMMYFUNCTION("""COMPUTED_VALUE"""),11740.0)</f>
        <v>11740</v>
      </c>
      <c r="G28" s="210"/>
      <c r="H28" s="210"/>
      <c r="I28" s="205" t="str">
        <f>X!V4</f>
        <v>Receitas Financeiras</v>
      </c>
      <c r="J28" s="203">
        <f>SUMIFS(Entradas[Valores],Entradas[Categoria],I28,Entradas[Data da Competência],"&gt;="&amp;$C$4,Entradas[Data da Competência],"&lt;"&amp;$D$5)</f>
        <v>0</v>
      </c>
    </row>
    <row r="29">
      <c r="A29" s="9"/>
      <c r="B29" s="201" t="str">
        <f>IFERROR(__xludf.DUMMYFUNCTION("""COMPUTED_VALUE"""),"Rogério Ceni")</f>
        <v>Rogério Ceni</v>
      </c>
      <c r="C29" s="203">
        <f>IFERROR(__xludf.DUMMYFUNCTION("""COMPUTED_VALUE"""),9200.0)</f>
        <v>9200</v>
      </c>
      <c r="E29" s="201" t="str">
        <f>IFERROR(__xludf.DUMMYFUNCTION("""COMPUTED_VALUE"""),"Fornecedor 02")</f>
        <v>Fornecedor 02</v>
      </c>
      <c r="F29" s="203">
        <f>IFERROR(__xludf.DUMMYFUNCTION("""COMPUTED_VALUE"""),5135.0)</f>
        <v>5135</v>
      </c>
      <c r="G29" s="211"/>
      <c r="H29" s="211"/>
      <c r="I29" s="205" t="str">
        <f>X!V5</f>
        <v>Receitas não operacionais</v>
      </c>
      <c r="J29" s="203">
        <f>SUMIFS(Entradas[Valores],Entradas[Categoria],I29,Entradas[Data da Competência],"&gt;="&amp;$C$4,Entradas[Data da Competência],"&lt;"&amp;$D$5)</f>
        <v>10500</v>
      </c>
    </row>
    <row r="30">
      <c r="B30" s="201" t="str">
        <f>IFERROR(__xludf.DUMMYFUNCTION("""COMPUTED_VALUE"""),"Roger Machado")</f>
        <v>Roger Machado</v>
      </c>
      <c r="C30" s="203">
        <f>IFERROR(__xludf.DUMMYFUNCTION("""COMPUTED_VALUE"""),7650.0)</f>
        <v>7650</v>
      </c>
      <c r="E30" s="213"/>
      <c r="F30" s="214"/>
    </row>
    <row r="31">
      <c r="B31" s="201"/>
      <c r="C31" s="203"/>
      <c r="E31" s="213"/>
      <c r="F31" s="214"/>
    </row>
    <row r="32">
      <c r="B32" s="201"/>
      <c r="C32" s="203"/>
      <c r="E32" s="213"/>
      <c r="F32" s="214"/>
      <c r="I32" s="193" t="s">
        <v>225</v>
      </c>
      <c r="J32" s="12"/>
    </row>
    <row r="33">
      <c r="B33" s="201"/>
      <c r="C33" s="203"/>
      <c r="E33" s="213"/>
      <c r="F33" s="214"/>
      <c r="I33" s="205" t="str">
        <f>X!V6</f>
        <v>Deduções sobre vendas</v>
      </c>
      <c r="J33" s="203">
        <f>SUMIFS(Saidas[Valores],Saidas[Categoria],I33,Saidas[Data da Competência],"&gt;="&amp;$C$4,Saidas[Data da Competência],"&lt;"&amp;$D$5)</f>
        <v>925</v>
      </c>
    </row>
    <row r="34">
      <c r="B34" s="201"/>
      <c r="C34" s="203"/>
      <c r="E34" s="213"/>
      <c r="F34" s="214"/>
      <c r="I34" s="205" t="str">
        <f>X!V7</f>
        <v>Custo das Vendas</v>
      </c>
      <c r="J34" s="203">
        <f>SUMIFS(Saidas[Valores],Saidas[Categoria],I34,Saidas[Data da Competência],"&gt;="&amp;$C$4,Saidas[Data da Competência],"&lt;"&amp;$D$5)</f>
        <v>8823</v>
      </c>
    </row>
    <row r="35">
      <c r="B35" s="201"/>
      <c r="C35" s="203"/>
      <c r="E35" s="213"/>
      <c r="F35" s="214"/>
      <c r="I35" s="205" t="str">
        <f>X!V8</f>
        <v>Despesas administrativas</v>
      </c>
      <c r="J35" s="203">
        <f>SUMIFS(Saidas[Valores],Saidas[Categoria],I35,Saidas[Data da Competência],"&gt;="&amp;$C$4,Saidas[Data da Competência],"&lt;"&amp;$D$5)</f>
        <v>4270</v>
      </c>
    </row>
    <row r="36">
      <c r="B36" s="201"/>
      <c r="C36" s="203"/>
      <c r="E36" s="213"/>
      <c r="F36" s="214"/>
      <c r="I36" s="205" t="str">
        <f>X!V9</f>
        <v>Despesa com Pessoal</v>
      </c>
      <c r="J36" s="203">
        <f>SUMIFS(Saidas[Valores],Saidas[Categoria],I36,Saidas[Data da Competência],"&gt;="&amp;$C$4,Saidas[Data da Competência],"&lt;"&amp;$D$5)</f>
        <v>7920</v>
      </c>
    </row>
    <row r="37">
      <c r="B37" s="201"/>
      <c r="C37" s="203"/>
      <c r="E37" s="213"/>
      <c r="F37" s="214"/>
      <c r="I37" s="205" t="str">
        <f>X!V11</f>
        <v>Despesa Financeira</v>
      </c>
      <c r="J37" s="203">
        <f>SUMIFS(Saidas[Valores],Saidas[Categoria],I37,Saidas[Data da Competência],"&gt;="&amp;$C$4,Saidas[Data da Competência],"&lt;"&amp;$D$5)</f>
        <v>0</v>
      </c>
    </row>
    <row r="38">
      <c r="B38" s="201"/>
      <c r="C38" s="203"/>
      <c r="E38" s="213"/>
      <c r="F38" s="214"/>
      <c r="I38" s="205" t="str">
        <f>X!V12</f>
        <v>Despesas não operacionais</v>
      </c>
      <c r="J38" s="203">
        <f>SUMIFS(Saidas[Valores],Saidas[Categoria],I38,Saidas[Data da Competência],"&gt;="&amp;$C$4,Saidas[Data da Competência],"&lt;"&amp;$D$5)</f>
        <v>35000</v>
      </c>
    </row>
    <row r="39">
      <c r="B39" s="201"/>
      <c r="C39" s="203"/>
      <c r="E39" s="213"/>
      <c r="F39" s="214"/>
      <c r="I39" s="205" t="str">
        <f>X!V13</f>
        <v>Impostos</v>
      </c>
      <c r="J39" s="203">
        <f>SUMIFS(Saidas[Valores],Saidas[Categoria],I39,Saidas[Data da Competência],"&gt;="&amp;$C$4,Saidas[Data da Competência],"&lt;"&amp;$D$5)</f>
        <v>650</v>
      </c>
    </row>
    <row r="40">
      <c r="B40" s="201"/>
      <c r="C40" s="203"/>
      <c r="E40" s="213"/>
      <c r="F40" s="214"/>
      <c r="I40" s="205" t="str">
        <f>X!V14</f>
        <v>Participação e Dividendos</v>
      </c>
      <c r="J40" s="203">
        <f>SUMIFS(Saidas[Valores],Saidas[Categoria],I40,Saidas[Data da Competência],"&gt;="&amp;$C$4,Saidas[Data da Competência],"&lt;"&amp;$D$5)</f>
        <v>0</v>
      </c>
    </row>
    <row r="41">
      <c r="B41" s="201"/>
      <c r="C41" s="203"/>
      <c r="E41" s="213"/>
      <c r="F41" s="214"/>
      <c r="I41" s="205" t="str">
        <f>#REF!</f>
        <v>#REF!</v>
      </c>
      <c r="J41" s="203">
        <f>SUMIFS(Saidas[Valores],Saidas[Categoria],I41,Saidas[Data da Competência],"&gt;="&amp;$C$4,Saidas[Data da Competência],"&lt;"&amp;$D$5)</f>
        <v>0</v>
      </c>
    </row>
    <row r="42">
      <c r="B42" s="201"/>
      <c r="C42" s="203"/>
      <c r="E42" s="213"/>
      <c r="F42" s="214"/>
      <c r="I42" s="205" t="str">
        <f>X!V15</f>
        <v/>
      </c>
      <c r="J42" s="203">
        <f>SUMIFS(Saidas[Valores],Saidas[Categoria],I42,Saidas[Data da Competência],"&gt;="&amp;$C$4,Saidas[Data da Competência],"&lt;"&amp;$D$5)</f>
        <v>0</v>
      </c>
    </row>
    <row r="43">
      <c r="B43" s="201"/>
      <c r="C43" s="203"/>
      <c r="E43" s="213"/>
      <c r="F43" s="214"/>
    </row>
    <row r="44">
      <c r="B44" s="201"/>
      <c r="C44" s="203"/>
      <c r="E44" s="213"/>
      <c r="F44" s="214"/>
    </row>
    <row r="45">
      <c r="B45" s="201"/>
      <c r="C45" s="203"/>
      <c r="E45" s="213"/>
      <c r="F45" s="214"/>
    </row>
    <row r="46">
      <c r="B46" s="201"/>
      <c r="C46" s="203"/>
      <c r="E46" s="213"/>
      <c r="F46" s="214"/>
    </row>
    <row r="47">
      <c r="B47" s="201"/>
      <c r="C47" s="203"/>
      <c r="E47" s="213"/>
      <c r="F47" s="214"/>
    </row>
    <row r="48">
      <c r="B48" s="201"/>
      <c r="C48" s="203"/>
      <c r="E48" s="213"/>
      <c r="F48" s="214"/>
    </row>
    <row r="49">
      <c r="B49" s="201"/>
      <c r="C49" s="203"/>
      <c r="E49" s="213"/>
      <c r="F49" s="214"/>
    </row>
    <row r="50">
      <c r="B50" s="201"/>
      <c r="C50" s="203"/>
      <c r="E50" s="213"/>
      <c r="F50" s="214"/>
    </row>
    <row r="51">
      <c r="B51" s="201"/>
      <c r="C51" s="203"/>
      <c r="E51" s="213"/>
      <c r="F51" s="214"/>
    </row>
    <row r="52">
      <c r="B52" s="201"/>
      <c r="C52" s="203"/>
      <c r="E52" s="213"/>
      <c r="F52" s="214"/>
    </row>
    <row r="53">
      <c r="B53" s="201"/>
      <c r="C53" s="203"/>
      <c r="E53" s="213"/>
      <c r="F53" s="214"/>
    </row>
    <row r="54">
      <c r="B54" s="201"/>
      <c r="C54" s="203"/>
      <c r="E54" s="213"/>
      <c r="F54" s="214"/>
    </row>
    <row r="55">
      <c r="B55" s="201"/>
      <c r="C55" s="203"/>
      <c r="E55" s="213"/>
      <c r="F55" s="214"/>
    </row>
    <row r="56">
      <c r="B56" s="201"/>
      <c r="C56" s="203"/>
      <c r="E56" s="213"/>
      <c r="F56" s="214"/>
    </row>
    <row r="57">
      <c r="B57" s="201"/>
      <c r="C57" s="203"/>
      <c r="E57" s="213"/>
      <c r="F57" s="214"/>
    </row>
    <row r="58">
      <c r="B58" s="201"/>
      <c r="C58" s="203"/>
      <c r="E58" s="213"/>
      <c r="F58" s="214"/>
    </row>
    <row r="59">
      <c r="B59" s="201"/>
      <c r="C59" s="203"/>
      <c r="E59" s="213"/>
      <c r="F59" s="214"/>
    </row>
    <row r="60">
      <c r="B60" s="201"/>
      <c r="C60" s="203"/>
      <c r="E60" s="213"/>
      <c r="F60" s="214"/>
    </row>
    <row r="61">
      <c r="B61" s="201"/>
      <c r="C61" s="203"/>
      <c r="E61" s="213"/>
      <c r="F61" s="214"/>
    </row>
    <row r="62">
      <c r="B62" s="201"/>
      <c r="C62" s="203"/>
      <c r="E62" s="213"/>
      <c r="F62" s="214"/>
    </row>
    <row r="63">
      <c r="B63" s="201"/>
      <c r="C63" s="203"/>
      <c r="E63" s="213"/>
      <c r="F63" s="214"/>
    </row>
    <row r="64">
      <c r="B64" s="201"/>
      <c r="C64" s="203"/>
      <c r="E64" s="213"/>
      <c r="F64" s="214"/>
    </row>
    <row r="65">
      <c r="B65" s="201"/>
      <c r="C65" s="203"/>
      <c r="E65" s="213"/>
      <c r="F65" s="214"/>
    </row>
    <row r="66">
      <c r="B66" s="201"/>
      <c r="C66" s="203"/>
      <c r="E66" s="213"/>
      <c r="F66" s="214"/>
    </row>
    <row r="67">
      <c r="B67" s="201"/>
      <c r="C67" s="203"/>
      <c r="E67" s="213"/>
      <c r="F67" s="214"/>
    </row>
    <row r="68">
      <c r="B68" s="201"/>
      <c r="C68" s="203"/>
      <c r="E68" s="213"/>
      <c r="F68" s="214"/>
    </row>
    <row r="69">
      <c r="B69" s="201"/>
      <c r="C69" s="203"/>
      <c r="E69" s="213"/>
      <c r="F69" s="214"/>
    </row>
    <row r="70">
      <c r="B70" s="201"/>
      <c r="C70" s="203"/>
      <c r="E70" s="213"/>
      <c r="F70" s="214"/>
    </row>
    <row r="71">
      <c r="B71" s="201"/>
      <c r="C71" s="203"/>
      <c r="E71" s="213"/>
      <c r="F71" s="214"/>
    </row>
    <row r="72">
      <c r="B72" s="201"/>
      <c r="C72" s="203"/>
      <c r="E72" s="213"/>
      <c r="F72" s="214"/>
    </row>
    <row r="73">
      <c r="B73" s="201"/>
      <c r="C73" s="203"/>
      <c r="E73" s="213"/>
      <c r="F73" s="214"/>
    </row>
    <row r="74">
      <c r="B74" s="201"/>
      <c r="C74" s="203"/>
      <c r="E74" s="213"/>
      <c r="F74" s="214"/>
    </row>
    <row r="75">
      <c r="B75" s="201"/>
      <c r="C75" s="203"/>
      <c r="E75" s="213"/>
      <c r="F75" s="214"/>
    </row>
    <row r="76">
      <c r="B76" s="201"/>
      <c r="C76" s="203"/>
      <c r="E76" s="213"/>
      <c r="F76" s="214"/>
    </row>
    <row r="77">
      <c r="B77" s="201"/>
      <c r="C77" s="203"/>
      <c r="E77" s="213"/>
      <c r="F77" s="214"/>
    </row>
    <row r="78">
      <c r="B78" s="201"/>
      <c r="C78" s="203"/>
      <c r="E78" s="213"/>
      <c r="F78" s="214"/>
    </row>
    <row r="79">
      <c r="B79" s="201"/>
      <c r="C79" s="203"/>
      <c r="E79" s="213"/>
      <c r="F79" s="214"/>
    </row>
    <row r="80">
      <c r="B80" s="201"/>
      <c r="C80" s="203"/>
      <c r="E80" s="213"/>
      <c r="F80" s="214"/>
    </row>
    <row r="81">
      <c r="B81" s="201"/>
      <c r="C81" s="203"/>
      <c r="E81" s="213"/>
      <c r="F81" s="214"/>
    </row>
    <row r="82">
      <c r="B82" s="201"/>
      <c r="C82" s="203"/>
      <c r="E82" s="213"/>
      <c r="F82" s="214"/>
    </row>
    <row r="83">
      <c r="B83" s="201"/>
      <c r="C83" s="203"/>
      <c r="E83" s="213"/>
      <c r="F83" s="214"/>
    </row>
    <row r="84">
      <c r="B84" s="201"/>
      <c r="C84" s="203"/>
      <c r="E84" s="213"/>
      <c r="F84" s="214"/>
    </row>
    <row r="85">
      <c r="B85" s="201"/>
      <c r="C85" s="203"/>
      <c r="E85" s="213"/>
      <c r="F85" s="214"/>
    </row>
    <row r="86">
      <c r="B86" s="201"/>
      <c r="C86" s="203"/>
      <c r="E86" s="213"/>
      <c r="F86" s="214"/>
    </row>
    <row r="87">
      <c r="B87" s="201"/>
      <c r="C87" s="203"/>
      <c r="E87" s="213"/>
      <c r="F87" s="214"/>
    </row>
    <row r="88">
      <c r="B88" s="201"/>
      <c r="C88" s="203"/>
      <c r="E88" s="213"/>
      <c r="F88" s="214"/>
    </row>
    <row r="89">
      <c r="B89" s="201"/>
      <c r="C89" s="203"/>
      <c r="E89" s="213"/>
      <c r="F89" s="214"/>
    </row>
    <row r="90">
      <c r="B90" s="201"/>
      <c r="C90" s="203"/>
      <c r="E90" s="213"/>
      <c r="F90" s="214"/>
    </row>
    <row r="91">
      <c r="B91" s="201"/>
      <c r="C91" s="203"/>
      <c r="E91" s="213"/>
      <c r="F91" s="214"/>
    </row>
    <row r="92">
      <c r="B92" s="201"/>
      <c r="C92" s="203"/>
      <c r="E92" s="213"/>
      <c r="F92" s="214"/>
    </row>
    <row r="93">
      <c r="B93" s="201"/>
      <c r="C93" s="203"/>
      <c r="E93" s="213"/>
      <c r="F93" s="214"/>
    </row>
    <row r="94">
      <c r="B94" s="201"/>
      <c r="C94" s="203"/>
      <c r="E94" s="213"/>
      <c r="F94" s="214"/>
    </row>
    <row r="95">
      <c r="B95" s="201"/>
      <c r="C95" s="203"/>
      <c r="E95" s="213"/>
      <c r="F95" s="214"/>
    </row>
    <row r="96">
      <c r="B96" s="201"/>
      <c r="C96" s="203"/>
      <c r="E96" s="213"/>
      <c r="F96" s="214"/>
    </row>
    <row r="97">
      <c r="B97" s="201"/>
      <c r="C97" s="203"/>
      <c r="E97" s="213"/>
      <c r="F97" s="214"/>
    </row>
    <row r="98">
      <c r="B98" s="201"/>
      <c r="C98" s="203"/>
      <c r="E98" s="213"/>
      <c r="F98" s="214"/>
    </row>
    <row r="99">
      <c r="B99" s="201"/>
      <c r="C99" s="203"/>
      <c r="E99" s="213"/>
      <c r="F99" s="214"/>
    </row>
    <row r="100">
      <c r="B100" s="201"/>
      <c r="C100" s="203"/>
      <c r="E100" s="213"/>
      <c r="F100" s="214"/>
    </row>
    <row r="101">
      <c r="B101" s="201"/>
      <c r="C101" s="203"/>
      <c r="E101" s="213"/>
      <c r="F101" s="214"/>
    </row>
    <row r="102">
      <c r="B102" s="201"/>
      <c r="C102" s="203"/>
      <c r="E102" s="213"/>
      <c r="F102" s="214"/>
    </row>
    <row r="103">
      <c r="B103" s="201"/>
      <c r="C103" s="203"/>
      <c r="E103" s="213"/>
      <c r="F103" s="214"/>
    </row>
    <row r="104">
      <c r="B104" s="201"/>
      <c r="C104" s="203"/>
      <c r="E104" s="213"/>
      <c r="F104" s="214"/>
    </row>
    <row r="105">
      <c r="B105" s="201"/>
      <c r="C105" s="203"/>
      <c r="E105" s="213"/>
      <c r="F105" s="214"/>
    </row>
    <row r="106">
      <c r="B106" s="201"/>
      <c r="C106" s="203"/>
      <c r="E106" s="213"/>
      <c r="F106" s="214"/>
    </row>
    <row r="107">
      <c r="B107" s="201"/>
      <c r="C107" s="203"/>
      <c r="E107" s="213"/>
      <c r="F107" s="214"/>
    </row>
    <row r="108">
      <c r="B108" s="201"/>
      <c r="C108" s="203"/>
      <c r="E108" s="213"/>
      <c r="F108" s="214"/>
    </row>
    <row r="109">
      <c r="B109" s="201"/>
      <c r="C109" s="203"/>
      <c r="E109" s="213"/>
      <c r="F109" s="214"/>
    </row>
    <row r="110">
      <c r="B110" s="201"/>
      <c r="C110" s="203"/>
      <c r="E110" s="213"/>
      <c r="F110" s="214"/>
    </row>
    <row r="111">
      <c r="B111" s="201"/>
      <c r="C111" s="203"/>
      <c r="E111" s="213"/>
      <c r="F111" s="214"/>
    </row>
    <row r="112">
      <c r="B112" s="201"/>
      <c r="C112" s="203"/>
      <c r="E112" s="213"/>
      <c r="F112" s="214"/>
    </row>
    <row r="113">
      <c r="B113" s="201"/>
      <c r="C113" s="203"/>
      <c r="E113" s="213"/>
      <c r="F113" s="214"/>
    </row>
    <row r="114">
      <c r="B114" s="201"/>
      <c r="C114" s="203"/>
      <c r="E114" s="213"/>
      <c r="F114" s="214"/>
    </row>
    <row r="115">
      <c r="B115" s="201"/>
      <c r="C115" s="203"/>
      <c r="E115" s="213"/>
      <c r="F115" s="214"/>
    </row>
    <row r="116">
      <c r="B116" s="201"/>
      <c r="C116" s="203"/>
      <c r="E116" s="213"/>
      <c r="F116" s="214"/>
    </row>
    <row r="117">
      <c r="B117" s="201"/>
      <c r="C117" s="203"/>
      <c r="E117" s="213"/>
      <c r="F117" s="214"/>
    </row>
    <row r="118">
      <c r="B118" s="201"/>
      <c r="C118" s="203"/>
      <c r="E118" s="213"/>
      <c r="F118" s="214"/>
    </row>
    <row r="119">
      <c r="B119" s="201"/>
      <c r="C119" s="203"/>
      <c r="E119" s="213"/>
      <c r="F119" s="214"/>
    </row>
    <row r="120">
      <c r="B120" s="201"/>
      <c r="C120" s="203"/>
      <c r="E120" s="213"/>
      <c r="F120" s="214"/>
    </row>
    <row r="121">
      <c r="B121" s="201"/>
      <c r="C121" s="203"/>
      <c r="E121" s="213"/>
      <c r="F121" s="214"/>
    </row>
    <row r="122">
      <c r="B122" s="201"/>
      <c r="C122" s="203"/>
      <c r="E122" s="213"/>
      <c r="F122" s="214"/>
    </row>
    <row r="123">
      <c r="B123" s="201"/>
      <c r="C123" s="203"/>
      <c r="E123" s="213"/>
      <c r="F123" s="214"/>
    </row>
    <row r="124">
      <c r="B124" s="201"/>
      <c r="C124" s="203"/>
      <c r="E124" s="213"/>
      <c r="F124" s="214"/>
    </row>
    <row r="125">
      <c r="B125" s="201"/>
      <c r="C125" s="203"/>
      <c r="E125" s="213"/>
      <c r="F125" s="214"/>
    </row>
    <row r="126">
      <c r="B126" s="201"/>
      <c r="C126" s="203"/>
      <c r="E126" s="213"/>
      <c r="F126" s="214"/>
    </row>
    <row r="127">
      <c r="B127" s="201"/>
      <c r="C127" s="203"/>
      <c r="E127" s="213"/>
      <c r="F127" s="214"/>
    </row>
    <row r="128">
      <c r="B128" s="201"/>
      <c r="C128" s="203"/>
      <c r="E128" s="213"/>
      <c r="F128" s="214"/>
    </row>
    <row r="129">
      <c r="B129" s="201"/>
      <c r="C129" s="203"/>
      <c r="E129" s="213"/>
      <c r="F129" s="214"/>
    </row>
    <row r="130">
      <c r="B130" s="201"/>
      <c r="C130" s="203"/>
      <c r="E130" s="213"/>
      <c r="F130" s="214"/>
    </row>
    <row r="131">
      <c r="B131" s="201"/>
      <c r="C131" s="203"/>
      <c r="E131" s="213"/>
      <c r="F131" s="214"/>
    </row>
    <row r="132">
      <c r="B132" s="201"/>
      <c r="C132" s="203"/>
      <c r="E132" s="213"/>
      <c r="F132" s="214"/>
    </row>
    <row r="133">
      <c r="B133" s="201"/>
      <c r="C133" s="203"/>
      <c r="E133" s="213"/>
      <c r="F133" s="214"/>
    </row>
    <row r="134">
      <c r="B134" s="201"/>
      <c r="C134" s="203"/>
      <c r="E134" s="213"/>
      <c r="F134" s="214"/>
    </row>
    <row r="135">
      <c r="B135" s="201"/>
      <c r="C135" s="203"/>
      <c r="E135" s="213"/>
      <c r="F135" s="214"/>
    </row>
    <row r="136">
      <c r="B136" s="201"/>
      <c r="C136" s="203"/>
      <c r="E136" s="213"/>
      <c r="F136" s="214"/>
    </row>
    <row r="137">
      <c r="B137" s="201"/>
      <c r="C137" s="203"/>
      <c r="E137" s="213"/>
      <c r="F137" s="214"/>
    </row>
    <row r="138">
      <c r="B138" s="201"/>
      <c r="C138" s="203"/>
      <c r="E138" s="213"/>
      <c r="F138" s="214"/>
    </row>
    <row r="139">
      <c r="B139" s="201"/>
      <c r="C139" s="203"/>
      <c r="E139" s="213"/>
      <c r="F139" s="214"/>
    </row>
    <row r="140">
      <c r="B140" s="201"/>
      <c r="C140" s="203"/>
      <c r="E140" s="213"/>
      <c r="F140" s="214"/>
    </row>
    <row r="141">
      <c r="B141" s="201"/>
      <c r="C141" s="203"/>
      <c r="E141" s="213"/>
      <c r="F141" s="214"/>
    </row>
    <row r="142">
      <c r="B142" s="201"/>
      <c r="C142" s="203"/>
      <c r="E142" s="213"/>
      <c r="F142" s="214"/>
    </row>
    <row r="143">
      <c r="B143" s="201"/>
      <c r="C143" s="203"/>
      <c r="E143" s="213"/>
      <c r="F143" s="214"/>
    </row>
    <row r="144">
      <c r="B144" s="201"/>
      <c r="C144" s="203"/>
      <c r="E144" s="213"/>
      <c r="F144" s="214"/>
    </row>
    <row r="145">
      <c r="B145" s="201"/>
      <c r="C145" s="203"/>
      <c r="E145" s="213"/>
      <c r="F145" s="214"/>
    </row>
    <row r="146">
      <c r="B146" s="201"/>
      <c r="C146" s="203"/>
      <c r="E146" s="213"/>
      <c r="F146" s="214"/>
    </row>
    <row r="147">
      <c r="B147" s="201"/>
      <c r="C147" s="203"/>
      <c r="E147" s="213"/>
      <c r="F147" s="214"/>
    </row>
    <row r="148">
      <c r="B148" s="201"/>
      <c r="C148" s="203"/>
      <c r="E148" s="213"/>
      <c r="F148" s="214"/>
    </row>
    <row r="149">
      <c r="B149" s="201"/>
      <c r="C149" s="203"/>
      <c r="E149" s="213"/>
      <c r="F149" s="214"/>
    </row>
    <row r="150">
      <c r="B150" s="201"/>
      <c r="C150" s="203"/>
      <c r="E150" s="213"/>
      <c r="F150" s="214"/>
    </row>
    <row r="151">
      <c r="B151" s="201"/>
      <c r="C151" s="203"/>
      <c r="E151" s="213"/>
      <c r="F151" s="214"/>
    </row>
    <row r="152">
      <c r="B152" s="201"/>
      <c r="C152" s="203"/>
      <c r="E152" s="213"/>
      <c r="F152" s="214"/>
    </row>
    <row r="153">
      <c r="B153" s="201"/>
      <c r="C153" s="203"/>
      <c r="E153" s="213"/>
      <c r="F153" s="214"/>
    </row>
    <row r="154">
      <c r="B154" s="201"/>
      <c r="C154" s="203"/>
      <c r="E154" s="213"/>
      <c r="F154" s="214"/>
    </row>
    <row r="155">
      <c r="B155" s="201"/>
      <c r="C155" s="203"/>
      <c r="E155" s="213"/>
      <c r="F155" s="214"/>
    </row>
    <row r="156">
      <c r="B156" s="201"/>
      <c r="C156" s="203"/>
      <c r="E156" s="213"/>
      <c r="F156" s="214"/>
    </row>
    <row r="157">
      <c r="B157" s="201"/>
      <c r="C157" s="203"/>
      <c r="E157" s="213"/>
      <c r="F157" s="214"/>
    </row>
    <row r="158">
      <c r="B158" s="201"/>
      <c r="C158" s="203"/>
      <c r="E158" s="213"/>
      <c r="F158" s="214"/>
    </row>
    <row r="159">
      <c r="B159" s="201"/>
      <c r="C159" s="203"/>
      <c r="E159" s="213"/>
      <c r="F159" s="214"/>
    </row>
    <row r="160">
      <c r="B160" s="201"/>
      <c r="C160" s="203"/>
      <c r="E160" s="213"/>
      <c r="F160" s="214"/>
    </row>
    <row r="161">
      <c r="B161" s="201"/>
      <c r="C161" s="203"/>
      <c r="E161" s="213"/>
      <c r="F161" s="214"/>
    </row>
    <row r="162">
      <c r="B162" s="201"/>
      <c r="C162" s="203"/>
      <c r="E162" s="213"/>
      <c r="F162" s="214"/>
    </row>
    <row r="163">
      <c r="B163" s="201"/>
      <c r="C163" s="203"/>
      <c r="E163" s="213"/>
      <c r="F163" s="214"/>
    </row>
    <row r="164">
      <c r="B164" s="201"/>
      <c r="C164" s="203"/>
      <c r="E164" s="213"/>
      <c r="F164" s="214"/>
    </row>
    <row r="165">
      <c r="B165" s="201"/>
      <c r="C165" s="203"/>
      <c r="E165" s="213"/>
      <c r="F165" s="214"/>
    </row>
    <row r="166">
      <c r="B166" s="201"/>
      <c r="C166" s="203"/>
      <c r="E166" s="213"/>
      <c r="F166" s="214"/>
    </row>
    <row r="167">
      <c r="B167" s="201"/>
      <c r="C167" s="203"/>
      <c r="E167" s="213"/>
      <c r="F167" s="214"/>
    </row>
    <row r="168">
      <c r="B168" s="201"/>
      <c r="C168" s="203"/>
      <c r="E168" s="213"/>
      <c r="F168" s="214"/>
    </row>
    <row r="169">
      <c r="B169" s="201"/>
      <c r="C169" s="203"/>
      <c r="E169" s="213"/>
      <c r="F169" s="214"/>
    </row>
    <row r="170">
      <c r="B170" s="201"/>
      <c r="C170" s="203"/>
      <c r="E170" s="213"/>
      <c r="F170" s="214"/>
    </row>
    <row r="171">
      <c r="B171" s="201"/>
      <c r="C171" s="203"/>
      <c r="E171" s="213"/>
      <c r="F171" s="214"/>
    </row>
    <row r="172">
      <c r="B172" s="201"/>
      <c r="C172" s="203"/>
      <c r="E172" s="213"/>
      <c r="F172" s="214"/>
    </row>
    <row r="173">
      <c r="B173" s="201"/>
      <c r="C173" s="203"/>
      <c r="E173" s="213"/>
      <c r="F173" s="214"/>
    </row>
    <row r="174">
      <c r="B174" s="201"/>
      <c r="C174" s="203"/>
      <c r="E174" s="213"/>
      <c r="F174" s="214"/>
    </row>
    <row r="175">
      <c r="B175" s="201"/>
      <c r="C175" s="203"/>
      <c r="E175" s="213"/>
      <c r="F175" s="214"/>
    </row>
    <row r="176">
      <c r="B176" s="201"/>
      <c r="C176" s="203"/>
      <c r="E176" s="213"/>
      <c r="F176" s="214"/>
    </row>
    <row r="177">
      <c r="B177" s="201"/>
      <c r="C177" s="203"/>
      <c r="E177" s="213"/>
      <c r="F177" s="214"/>
    </row>
    <row r="178">
      <c r="B178" s="201"/>
      <c r="C178" s="203"/>
      <c r="E178" s="213"/>
      <c r="F178" s="214"/>
    </row>
    <row r="179">
      <c r="B179" s="201"/>
      <c r="C179" s="203"/>
      <c r="E179" s="213"/>
      <c r="F179" s="214"/>
    </row>
    <row r="180">
      <c r="B180" s="201"/>
      <c r="C180" s="203"/>
      <c r="E180" s="213"/>
      <c r="F180" s="214"/>
    </row>
    <row r="181">
      <c r="B181" s="201"/>
      <c r="C181" s="203"/>
      <c r="E181" s="213"/>
      <c r="F181" s="214"/>
    </row>
    <row r="182">
      <c r="B182" s="201"/>
      <c r="C182" s="203"/>
      <c r="E182" s="213"/>
      <c r="F182" s="214"/>
    </row>
    <row r="183">
      <c r="B183" s="201"/>
      <c r="C183" s="203"/>
      <c r="E183" s="213"/>
      <c r="F183" s="214"/>
    </row>
    <row r="184">
      <c r="B184" s="201"/>
      <c r="C184" s="203"/>
      <c r="E184" s="213"/>
      <c r="F184" s="214"/>
    </row>
    <row r="185">
      <c r="B185" s="201"/>
      <c r="C185" s="203"/>
      <c r="E185" s="213"/>
      <c r="F185" s="214"/>
    </row>
    <row r="186">
      <c r="B186" s="201"/>
      <c r="C186" s="203"/>
      <c r="E186" s="213"/>
      <c r="F186" s="214"/>
    </row>
    <row r="187">
      <c r="B187" s="201"/>
      <c r="C187" s="203"/>
      <c r="E187" s="213"/>
      <c r="F187" s="214"/>
    </row>
    <row r="188">
      <c r="B188" s="201"/>
      <c r="C188" s="203"/>
      <c r="E188" s="213"/>
      <c r="F188" s="214"/>
    </row>
    <row r="189">
      <c r="B189" s="201"/>
      <c r="C189" s="203"/>
      <c r="E189" s="213"/>
      <c r="F189" s="214"/>
    </row>
    <row r="190">
      <c r="B190" s="201"/>
      <c r="C190" s="203"/>
      <c r="E190" s="213"/>
      <c r="F190" s="214"/>
    </row>
    <row r="191">
      <c r="B191" s="201"/>
      <c r="C191" s="203"/>
      <c r="E191" s="213"/>
      <c r="F191" s="214"/>
    </row>
    <row r="192">
      <c r="B192" s="201"/>
      <c r="C192" s="203"/>
      <c r="E192" s="213"/>
      <c r="F192" s="214"/>
    </row>
    <row r="193">
      <c r="B193" s="201"/>
      <c r="C193" s="203"/>
      <c r="E193" s="213"/>
      <c r="F193" s="214"/>
    </row>
    <row r="194">
      <c r="B194" s="201"/>
      <c r="C194" s="203"/>
      <c r="E194" s="213"/>
      <c r="F194" s="214"/>
    </row>
    <row r="195">
      <c r="B195" s="201"/>
      <c r="C195" s="203"/>
      <c r="E195" s="213"/>
      <c r="F195" s="214"/>
    </row>
    <row r="196">
      <c r="B196" s="201"/>
      <c r="C196" s="203"/>
      <c r="E196" s="213"/>
      <c r="F196" s="214"/>
    </row>
    <row r="197">
      <c r="B197" s="201"/>
      <c r="C197" s="203"/>
      <c r="E197" s="213"/>
      <c r="F197" s="214"/>
    </row>
    <row r="198">
      <c r="B198" s="201"/>
      <c r="C198" s="203"/>
      <c r="E198" s="213"/>
      <c r="F198" s="214"/>
    </row>
    <row r="199">
      <c r="B199" s="201"/>
      <c r="C199" s="203"/>
      <c r="E199" s="213"/>
      <c r="F199" s="214"/>
    </row>
    <row r="200">
      <c r="B200" s="201"/>
      <c r="C200" s="203"/>
      <c r="E200" s="213"/>
      <c r="F200" s="214"/>
    </row>
    <row r="201">
      <c r="B201" s="201"/>
      <c r="C201" s="203"/>
      <c r="E201" s="213"/>
      <c r="F201" s="214"/>
    </row>
    <row r="202">
      <c r="B202" s="201"/>
      <c r="C202" s="203"/>
      <c r="E202" s="213"/>
      <c r="F202" s="214"/>
    </row>
    <row r="203">
      <c r="B203" s="201"/>
      <c r="C203" s="203"/>
      <c r="E203" s="213"/>
      <c r="F203" s="214"/>
    </row>
    <row r="204">
      <c r="B204" s="201"/>
      <c r="C204" s="203"/>
      <c r="E204" s="213"/>
      <c r="F204" s="214"/>
    </row>
    <row r="205">
      <c r="B205" s="201"/>
      <c r="C205" s="203"/>
      <c r="E205" s="213"/>
      <c r="F205" s="214"/>
    </row>
    <row r="206">
      <c r="B206" s="201"/>
      <c r="C206" s="203"/>
      <c r="E206" s="213"/>
      <c r="F206" s="214"/>
    </row>
    <row r="207">
      <c r="B207" s="201"/>
      <c r="C207" s="203"/>
      <c r="E207" s="213"/>
      <c r="F207" s="214"/>
    </row>
    <row r="208">
      <c r="B208" s="201"/>
      <c r="C208" s="203"/>
      <c r="E208" s="213"/>
      <c r="F208" s="214"/>
    </row>
    <row r="209">
      <c r="B209" s="201"/>
      <c r="C209" s="203"/>
      <c r="E209" s="213"/>
      <c r="F209" s="214"/>
    </row>
    <row r="210">
      <c r="B210" s="201"/>
      <c r="C210" s="203"/>
      <c r="E210" s="213"/>
      <c r="F210" s="214"/>
    </row>
    <row r="211">
      <c r="B211" s="201"/>
      <c r="C211" s="203"/>
      <c r="E211" s="213"/>
      <c r="F211" s="214"/>
    </row>
    <row r="212">
      <c r="B212" s="201"/>
      <c r="C212" s="203"/>
      <c r="E212" s="213"/>
      <c r="F212" s="214"/>
    </row>
    <row r="213">
      <c r="B213" s="201"/>
      <c r="C213" s="203"/>
      <c r="E213" s="213"/>
      <c r="F213" s="214"/>
    </row>
    <row r="214">
      <c r="B214" s="201"/>
      <c r="C214" s="203"/>
      <c r="E214" s="213"/>
      <c r="F214" s="214"/>
    </row>
    <row r="215">
      <c r="B215" s="201"/>
      <c r="C215" s="203"/>
      <c r="E215" s="213"/>
      <c r="F215" s="214"/>
    </row>
    <row r="216">
      <c r="B216" s="201"/>
      <c r="C216" s="203"/>
      <c r="E216" s="213"/>
      <c r="F216" s="214"/>
    </row>
    <row r="217">
      <c r="B217" s="201"/>
      <c r="C217" s="203"/>
      <c r="E217" s="213"/>
      <c r="F217" s="214"/>
    </row>
    <row r="218">
      <c r="B218" s="201"/>
      <c r="C218" s="203"/>
      <c r="E218" s="213"/>
      <c r="F218" s="214"/>
    </row>
    <row r="219">
      <c r="B219" s="201"/>
      <c r="C219" s="203"/>
      <c r="E219" s="213"/>
      <c r="F219" s="214"/>
    </row>
    <row r="220">
      <c r="B220" s="201"/>
      <c r="C220" s="203"/>
      <c r="E220" s="213"/>
      <c r="F220" s="214"/>
    </row>
    <row r="221">
      <c r="B221" s="201"/>
      <c r="C221" s="203"/>
      <c r="E221" s="213"/>
      <c r="F221" s="214"/>
    </row>
    <row r="222">
      <c r="B222" s="201"/>
      <c r="C222" s="203"/>
      <c r="E222" s="213"/>
      <c r="F222" s="214"/>
    </row>
    <row r="223">
      <c r="B223" s="201"/>
      <c r="C223" s="203"/>
      <c r="E223" s="213"/>
      <c r="F223" s="214"/>
    </row>
    <row r="224">
      <c r="B224" s="201"/>
      <c r="C224" s="203"/>
      <c r="E224" s="213"/>
      <c r="F224" s="214"/>
    </row>
    <row r="225">
      <c r="B225" s="201"/>
      <c r="C225" s="203"/>
      <c r="E225" s="213"/>
      <c r="F225" s="214"/>
    </row>
    <row r="226">
      <c r="B226" s="201"/>
      <c r="C226" s="203"/>
      <c r="E226" s="213"/>
      <c r="F226" s="214"/>
    </row>
    <row r="227">
      <c r="B227" s="201"/>
      <c r="C227" s="203"/>
      <c r="E227" s="213"/>
      <c r="F227" s="214"/>
    </row>
    <row r="228">
      <c r="B228" s="201"/>
      <c r="C228" s="203"/>
      <c r="E228" s="213"/>
      <c r="F228" s="214"/>
    </row>
    <row r="229">
      <c r="B229" s="201"/>
      <c r="C229" s="203"/>
      <c r="E229" s="213"/>
      <c r="F229" s="214"/>
    </row>
    <row r="230">
      <c r="B230" s="201"/>
      <c r="C230" s="203"/>
      <c r="E230" s="213"/>
      <c r="F230" s="214"/>
    </row>
    <row r="231">
      <c r="B231" s="201"/>
      <c r="C231" s="203"/>
      <c r="E231" s="213"/>
      <c r="F231" s="214"/>
    </row>
    <row r="232">
      <c r="B232" s="201"/>
      <c r="C232" s="203"/>
      <c r="E232" s="213"/>
      <c r="F232" s="214"/>
    </row>
    <row r="233">
      <c r="B233" s="201"/>
      <c r="C233" s="203"/>
      <c r="E233" s="213"/>
      <c r="F233" s="214"/>
    </row>
    <row r="234">
      <c r="B234" s="201"/>
      <c r="C234" s="203"/>
      <c r="E234" s="213"/>
      <c r="F234" s="214"/>
    </row>
    <row r="235">
      <c r="B235" s="201"/>
      <c r="C235" s="203"/>
      <c r="E235" s="213"/>
      <c r="F235" s="214"/>
    </row>
    <row r="236">
      <c r="B236" s="201"/>
      <c r="C236" s="203"/>
      <c r="E236" s="213"/>
      <c r="F236" s="214"/>
    </row>
    <row r="237">
      <c r="B237" s="201"/>
      <c r="C237" s="203"/>
      <c r="E237" s="213"/>
      <c r="F237" s="214"/>
    </row>
    <row r="238">
      <c r="B238" s="201"/>
      <c r="C238" s="203"/>
      <c r="E238" s="213"/>
      <c r="F238" s="214"/>
    </row>
    <row r="239">
      <c r="B239" s="201"/>
      <c r="C239" s="203"/>
      <c r="E239" s="213"/>
      <c r="F239" s="214"/>
    </row>
    <row r="240">
      <c r="B240" s="201"/>
      <c r="C240" s="203"/>
      <c r="E240" s="213"/>
      <c r="F240" s="214"/>
    </row>
    <row r="241">
      <c r="B241" s="201"/>
      <c r="C241" s="203"/>
      <c r="E241" s="213"/>
      <c r="F241" s="214"/>
    </row>
    <row r="242">
      <c r="B242" s="201"/>
      <c r="C242" s="203"/>
      <c r="E242" s="213"/>
      <c r="F242" s="214"/>
    </row>
    <row r="243">
      <c r="B243" s="201"/>
      <c r="C243" s="203"/>
      <c r="E243" s="213"/>
      <c r="F243" s="214"/>
    </row>
    <row r="244">
      <c r="B244" s="201"/>
      <c r="C244" s="203"/>
      <c r="E244" s="213"/>
      <c r="F244" s="214"/>
    </row>
    <row r="245">
      <c r="B245" s="213"/>
      <c r="C245" s="214"/>
      <c r="E245" s="213"/>
      <c r="F245" s="214"/>
    </row>
    <row r="246">
      <c r="B246" s="213"/>
      <c r="C246" s="214"/>
      <c r="E246" s="213"/>
      <c r="F246" s="214"/>
    </row>
    <row r="247">
      <c r="B247" s="213"/>
      <c r="C247" s="214"/>
      <c r="E247" s="213"/>
      <c r="F247" s="214"/>
    </row>
    <row r="248">
      <c r="B248" s="213"/>
      <c r="C248" s="214"/>
      <c r="E248" s="213"/>
      <c r="F248" s="214"/>
    </row>
    <row r="249">
      <c r="B249" s="213"/>
      <c r="C249" s="214"/>
      <c r="E249" s="213"/>
      <c r="F249" s="214"/>
    </row>
    <row r="250">
      <c r="B250" s="213"/>
      <c r="C250" s="214"/>
      <c r="E250" s="213"/>
      <c r="F250" s="214"/>
    </row>
    <row r="251">
      <c r="B251" s="213"/>
      <c r="C251" s="214"/>
      <c r="E251" s="213"/>
      <c r="F251" s="214"/>
    </row>
    <row r="252">
      <c r="B252" s="213"/>
      <c r="C252" s="214"/>
      <c r="E252" s="213"/>
      <c r="F252" s="214"/>
    </row>
    <row r="253">
      <c r="B253" s="213"/>
      <c r="C253" s="214"/>
      <c r="E253" s="213"/>
      <c r="F253" s="214"/>
    </row>
    <row r="254">
      <c r="B254" s="213"/>
      <c r="C254" s="214"/>
      <c r="E254" s="213"/>
      <c r="F254" s="214"/>
    </row>
    <row r="255">
      <c r="B255" s="213"/>
      <c r="C255" s="214"/>
      <c r="E255" s="213"/>
      <c r="F255" s="214"/>
    </row>
    <row r="256">
      <c r="B256" s="213"/>
      <c r="C256" s="214"/>
      <c r="E256" s="213"/>
      <c r="F256" s="214"/>
    </row>
    <row r="257">
      <c r="B257" s="213"/>
      <c r="C257" s="214"/>
      <c r="E257" s="213"/>
      <c r="F257" s="214"/>
    </row>
    <row r="258">
      <c r="B258" s="213"/>
      <c r="C258" s="214"/>
      <c r="E258" s="213"/>
      <c r="F258" s="214"/>
    </row>
    <row r="259">
      <c r="B259" s="213"/>
      <c r="C259" s="214"/>
      <c r="E259" s="213"/>
      <c r="F259" s="214"/>
    </row>
    <row r="260">
      <c r="B260" s="213"/>
      <c r="C260" s="214"/>
      <c r="E260" s="213"/>
      <c r="F260" s="214"/>
    </row>
    <row r="261">
      <c r="B261" s="213"/>
      <c r="C261" s="214"/>
      <c r="E261" s="213"/>
      <c r="F261" s="214"/>
    </row>
    <row r="262">
      <c r="B262" s="213"/>
      <c r="C262" s="214"/>
      <c r="E262" s="213"/>
      <c r="F262" s="214"/>
    </row>
    <row r="263">
      <c r="B263" s="213"/>
      <c r="C263" s="214"/>
      <c r="E263" s="213"/>
      <c r="F263" s="214"/>
    </row>
    <row r="264">
      <c r="B264" s="213"/>
      <c r="C264" s="214"/>
      <c r="E264" s="213"/>
      <c r="F264" s="214"/>
    </row>
    <row r="265">
      <c r="B265" s="213"/>
      <c r="C265" s="214"/>
      <c r="E265" s="213"/>
      <c r="F265" s="214"/>
    </row>
    <row r="266">
      <c r="B266" s="213"/>
      <c r="C266" s="214"/>
      <c r="E266" s="213"/>
      <c r="F266" s="214"/>
    </row>
    <row r="267">
      <c r="B267" s="213"/>
      <c r="C267" s="214"/>
      <c r="E267" s="213"/>
      <c r="F267" s="214"/>
    </row>
    <row r="268">
      <c r="B268" s="213"/>
      <c r="C268" s="214"/>
      <c r="E268" s="213"/>
      <c r="F268" s="214"/>
    </row>
    <row r="269">
      <c r="B269" s="213"/>
      <c r="C269" s="214"/>
      <c r="E269" s="213"/>
      <c r="F269" s="214"/>
    </row>
    <row r="270">
      <c r="B270" s="213"/>
      <c r="C270" s="214"/>
      <c r="E270" s="213"/>
      <c r="F270" s="214"/>
    </row>
    <row r="271">
      <c r="B271" s="213"/>
      <c r="C271" s="214"/>
      <c r="E271" s="213"/>
      <c r="F271" s="214"/>
    </row>
    <row r="272">
      <c r="B272" s="213"/>
      <c r="C272" s="214"/>
      <c r="E272" s="213"/>
      <c r="F272" s="214"/>
    </row>
    <row r="273">
      <c r="B273" s="213"/>
      <c r="C273" s="214"/>
      <c r="E273" s="213"/>
      <c r="F273" s="214"/>
    </row>
    <row r="274">
      <c r="B274" s="213"/>
      <c r="C274" s="214"/>
      <c r="E274" s="213"/>
      <c r="F274" s="214"/>
    </row>
    <row r="275">
      <c r="B275" s="213"/>
      <c r="C275" s="214"/>
      <c r="E275" s="213"/>
      <c r="F275" s="214"/>
    </row>
    <row r="276">
      <c r="B276" s="213"/>
      <c r="C276" s="214"/>
      <c r="E276" s="213"/>
      <c r="F276" s="214"/>
    </row>
    <row r="277">
      <c r="B277" s="213"/>
      <c r="C277" s="214"/>
      <c r="E277" s="213"/>
      <c r="F277" s="214"/>
    </row>
    <row r="278">
      <c r="B278" s="213"/>
      <c r="C278" s="214"/>
      <c r="E278" s="213"/>
      <c r="F278" s="214"/>
    </row>
    <row r="279">
      <c r="B279" s="213"/>
      <c r="C279" s="214"/>
      <c r="E279" s="213"/>
      <c r="F279" s="214"/>
    </row>
    <row r="280">
      <c r="B280" s="213"/>
      <c r="C280" s="214"/>
      <c r="E280" s="213"/>
      <c r="F280" s="214"/>
    </row>
    <row r="281">
      <c r="B281" s="213"/>
      <c r="C281" s="214"/>
      <c r="E281" s="213"/>
      <c r="F281" s="214"/>
    </row>
    <row r="282">
      <c r="B282" s="213"/>
      <c r="C282" s="214"/>
      <c r="E282" s="213"/>
      <c r="F282" s="214"/>
    </row>
    <row r="283">
      <c r="B283" s="213"/>
      <c r="C283" s="214"/>
      <c r="E283" s="213"/>
      <c r="F283" s="214"/>
    </row>
    <row r="284">
      <c r="B284" s="213"/>
      <c r="C284" s="214"/>
      <c r="E284" s="213"/>
      <c r="F284" s="214"/>
    </row>
    <row r="285">
      <c r="B285" s="213"/>
      <c r="C285" s="214"/>
      <c r="E285" s="213"/>
      <c r="F285" s="214"/>
    </row>
    <row r="286">
      <c r="B286" s="213"/>
      <c r="C286" s="214"/>
      <c r="E286" s="213"/>
      <c r="F286" s="214"/>
    </row>
    <row r="287">
      <c r="B287" s="213"/>
      <c r="C287" s="214"/>
      <c r="E287" s="213"/>
      <c r="F287" s="214"/>
    </row>
    <row r="288">
      <c r="B288" s="213"/>
      <c r="C288" s="214"/>
      <c r="E288" s="213"/>
      <c r="F288" s="214"/>
    </row>
    <row r="289">
      <c r="B289" s="213"/>
      <c r="C289" s="214"/>
      <c r="E289" s="213"/>
      <c r="F289" s="214"/>
    </row>
    <row r="290">
      <c r="B290" s="213"/>
      <c r="C290" s="214"/>
      <c r="E290" s="213"/>
      <c r="F290" s="214"/>
    </row>
    <row r="291">
      <c r="B291" s="213"/>
      <c r="C291" s="214"/>
      <c r="E291" s="213"/>
      <c r="F291" s="214"/>
    </row>
    <row r="292">
      <c r="B292" s="213"/>
      <c r="C292" s="214"/>
      <c r="E292" s="213"/>
      <c r="F292" s="214"/>
    </row>
    <row r="293">
      <c r="B293" s="213"/>
      <c r="C293" s="214"/>
      <c r="E293" s="213"/>
      <c r="F293" s="214"/>
    </row>
    <row r="294">
      <c r="B294" s="213"/>
      <c r="C294" s="214"/>
      <c r="E294" s="213"/>
      <c r="F294" s="214"/>
    </row>
    <row r="295">
      <c r="B295" s="213"/>
      <c r="C295" s="214"/>
      <c r="E295" s="213"/>
      <c r="F295" s="214"/>
    </row>
    <row r="296">
      <c r="B296" s="213"/>
      <c r="C296" s="214"/>
      <c r="E296" s="213"/>
      <c r="F296" s="214"/>
    </row>
    <row r="297">
      <c r="B297" s="213"/>
      <c r="C297" s="214"/>
      <c r="E297" s="213"/>
      <c r="F297" s="214"/>
    </row>
    <row r="298">
      <c r="B298" s="213"/>
      <c r="C298" s="214"/>
      <c r="E298" s="213"/>
      <c r="F298" s="214"/>
    </row>
    <row r="299">
      <c r="B299" s="213"/>
      <c r="C299" s="214"/>
      <c r="E299" s="213"/>
      <c r="F299" s="214"/>
    </row>
    <row r="300">
      <c r="B300" s="213"/>
      <c r="C300" s="214"/>
      <c r="E300" s="213"/>
      <c r="F300" s="214"/>
    </row>
    <row r="301">
      <c r="B301" s="213"/>
      <c r="C301" s="214"/>
      <c r="E301" s="213"/>
      <c r="F301" s="214"/>
    </row>
    <row r="302">
      <c r="B302" s="213"/>
      <c r="C302" s="214"/>
      <c r="E302" s="213"/>
      <c r="F302" s="214"/>
    </row>
    <row r="303">
      <c r="B303" s="213"/>
      <c r="C303" s="214"/>
      <c r="E303" s="213"/>
      <c r="F303" s="214"/>
    </row>
    <row r="304">
      <c r="B304" s="213"/>
      <c r="C304" s="214"/>
      <c r="E304" s="213"/>
      <c r="F304" s="214"/>
    </row>
    <row r="305">
      <c r="B305" s="213"/>
      <c r="C305" s="214"/>
      <c r="E305" s="213"/>
      <c r="F305" s="214"/>
    </row>
    <row r="306">
      <c r="B306" s="213"/>
      <c r="C306" s="214"/>
      <c r="E306" s="213"/>
      <c r="F306" s="214"/>
    </row>
    <row r="307">
      <c r="B307" s="213"/>
      <c r="C307" s="214"/>
      <c r="E307" s="213"/>
      <c r="F307" s="214"/>
    </row>
    <row r="308">
      <c r="B308" s="213"/>
      <c r="C308" s="214"/>
      <c r="E308" s="213"/>
      <c r="F308" s="214"/>
    </row>
    <row r="309">
      <c r="B309" s="213"/>
      <c r="C309" s="214"/>
      <c r="E309" s="213"/>
      <c r="F309" s="214"/>
    </row>
    <row r="310">
      <c r="B310" s="213"/>
      <c r="C310" s="214"/>
      <c r="E310" s="213"/>
      <c r="F310" s="214"/>
    </row>
    <row r="311">
      <c r="B311" s="213"/>
      <c r="C311" s="214"/>
      <c r="E311" s="213"/>
      <c r="F311" s="214"/>
    </row>
    <row r="312">
      <c r="B312" s="213"/>
      <c r="C312" s="214"/>
      <c r="E312" s="213"/>
      <c r="F312" s="214"/>
    </row>
    <row r="313">
      <c r="B313" s="213"/>
      <c r="C313" s="214"/>
      <c r="E313" s="213"/>
      <c r="F313" s="214"/>
    </row>
    <row r="314">
      <c r="B314" s="213"/>
      <c r="C314" s="214"/>
      <c r="E314" s="213"/>
      <c r="F314" s="214"/>
    </row>
    <row r="315">
      <c r="B315" s="213"/>
      <c r="C315" s="214"/>
      <c r="E315" s="213"/>
      <c r="F315" s="214"/>
    </row>
    <row r="316">
      <c r="B316" s="213"/>
      <c r="C316" s="214"/>
      <c r="E316" s="213"/>
      <c r="F316" s="214"/>
    </row>
    <row r="317">
      <c r="B317" s="213"/>
      <c r="C317" s="214"/>
      <c r="E317" s="213"/>
      <c r="F317" s="214"/>
    </row>
    <row r="318">
      <c r="B318" s="213"/>
      <c r="C318" s="214"/>
      <c r="E318" s="213"/>
      <c r="F318" s="214"/>
    </row>
    <row r="319">
      <c r="B319" s="213"/>
      <c r="C319" s="214"/>
      <c r="E319" s="213"/>
      <c r="F319" s="214"/>
    </row>
    <row r="320">
      <c r="B320" s="213"/>
      <c r="C320" s="214"/>
      <c r="E320" s="213"/>
      <c r="F320" s="214"/>
    </row>
    <row r="321">
      <c r="B321" s="213"/>
      <c r="C321" s="214"/>
      <c r="E321" s="213"/>
      <c r="F321" s="214"/>
    </row>
    <row r="322">
      <c r="B322" s="213"/>
      <c r="C322" s="214"/>
      <c r="E322" s="213"/>
      <c r="F322" s="214"/>
    </row>
    <row r="323">
      <c r="B323" s="213"/>
      <c r="C323" s="214"/>
      <c r="E323" s="213"/>
      <c r="F323" s="214"/>
    </row>
    <row r="324">
      <c r="B324" s="213"/>
      <c r="C324" s="214"/>
      <c r="E324" s="213"/>
      <c r="F324" s="214"/>
    </row>
    <row r="325">
      <c r="B325" s="213"/>
      <c r="C325" s="214"/>
      <c r="E325" s="213"/>
      <c r="F325" s="214"/>
    </row>
    <row r="326">
      <c r="B326" s="213"/>
      <c r="C326" s="214"/>
      <c r="E326" s="213"/>
      <c r="F326" s="214"/>
    </row>
    <row r="327">
      <c r="B327" s="213"/>
      <c r="C327" s="214"/>
      <c r="E327" s="213"/>
      <c r="F327" s="214"/>
    </row>
    <row r="328">
      <c r="B328" s="213"/>
      <c r="C328" s="214"/>
      <c r="E328" s="213"/>
      <c r="F328" s="214"/>
    </row>
    <row r="329">
      <c r="B329" s="213"/>
      <c r="C329" s="214"/>
      <c r="E329" s="213"/>
      <c r="F329" s="214"/>
    </row>
    <row r="330">
      <c r="B330" s="213"/>
      <c r="C330" s="214"/>
      <c r="E330" s="213"/>
      <c r="F330" s="214"/>
    </row>
    <row r="331">
      <c r="B331" s="213"/>
      <c r="C331" s="214"/>
      <c r="E331" s="213"/>
      <c r="F331" s="214"/>
    </row>
    <row r="332">
      <c r="B332" s="213"/>
      <c r="C332" s="214"/>
      <c r="E332" s="213"/>
      <c r="F332" s="214"/>
    </row>
    <row r="333">
      <c r="B333" s="213"/>
      <c r="C333" s="214"/>
      <c r="E333" s="213"/>
      <c r="F333" s="214"/>
    </row>
    <row r="334">
      <c r="B334" s="213"/>
      <c r="C334" s="214"/>
      <c r="E334" s="213"/>
      <c r="F334" s="214"/>
    </row>
    <row r="335">
      <c r="B335" s="213"/>
      <c r="C335" s="214"/>
      <c r="E335" s="213"/>
      <c r="F335" s="214"/>
    </row>
    <row r="336">
      <c r="B336" s="213"/>
      <c r="C336" s="214"/>
      <c r="E336" s="213"/>
      <c r="F336" s="214"/>
    </row>
    <row r="337">
      <c r="B337" s="213"/>
      <c r="C337" s="214"/>
      <c r="E337" s="213"/>
      <c r="F337" s="214"/>
    </row>
    <row r="338">
      <c r="B338" s="213"/>
      <c r="C338" s="214"/>
      <c r="E338" s="213"/>
      <c r="F338" s="214"/>
    </row>
    <row r="339">
      <c r="B339" s="213"/>
      <c r="C339" s="214"/>
      <c r="E339" s="213"/>
      <c r="F339" s="214"/>
    </row>
    <row r="340">
      <c r="B340" s="213"/>
      <c r="C340" s="214"/>
      <c r="E340" s="213"/>
      <c r="F340" s="214"/>
    </row>
    <row r="341">
      <c r="B341" s="213"/>
      <c r="C341" s="214"/>
      <c r="E341" s="213"/>
      <c r="F341" s="214"/>
    </row>
    <row r="342">
      <c r="B342" s="213"/>
      <c r="C342" s="214"/>
      <c r="E342" s="213"/>
      <c r="F342" s="214"/>
    </row>
    <row r="343">
      <c r="B343" s="213"/>
      <c r="C343" s="214"/>
      <c r="E343" s="213"/>
      <c r="F343" s="214"/>
    </row>
    <row r="344">
      <c r="B344" s="213"/>
      <c r="C344" s="214"/>
      <c r="E344" s="213"/>
      <c r="F344" s="214"/>
    </row>
    <row r="345">
      <c r="B345" s="213"/>
      <c r="C345" s="214"/>
      <c r="E345" s="213"/>
      <c r="F345" s="214"/>
    </row>
    <row r="346">
      <c r="B346" s="213"/>
      <c r="C346" s="214"/>
      <c r="E346" s="213"/>
      <c r="F346" s="214"/>
    </row>
    <row r="347">
      <c r="B347" s="213"/>
      <c r="C347" s="214"/>
      <c r="E347" s="213"/>
      <c r="F347" s="214"/>
    </row>
    <row r="348">
      <c r="B348" s="213"/>
      <c r="C348" s="214"/>
      <c r="E348" s="213"/>
      <c r="F348" s="214"/>
    </row>
    <row r="349">
      <c r="B349" s="213"/>
      <c r="C349" s="214"/>
      <c r="E349" s="213"/>
      <c r="F349" s="214"/>
    </row>
    <row r="350">
      <c r="B350" s="213"/>
      <c r="C350" s="214"/>
      <c r="E350" s="213"/>
      <c r="F350" s="214"/>
    </row>
    <row r="351">
      <c r="B351" s="213"/>
      <c r="C351" s="214"/>
      <c r="E351" s="213"/>
      <c r="F351" s="214"/>
    </row>
    <row r="352">
      <c r="B352" s="213"/>
      <c r="C352" s="214"/>
      <c r="E352" s="213"/>
      <c r="F352" s="214"/>
    </row>
    <row r="353">
      <c r="B353" s="213"/>
      <c r="C353" s="214"/>
      <c r="E353" s="213"/>
      <c r="F353" s="214"/>
    </row>
    <row r="354">
      <c r="B354" s="213"/>
      <c r="C354" s="214"/>
      <c r="E354" s="213"/>
      <c r="F354" s="214"/>
    </row>
    <row r="355">
      <c r="B355" s="213"/>
      <c r="C355" s="214"/>
      <c r="E355" s="213"/>
      <c r="F355" s="214"/>
    </row>
    <row r="356">
      <c r="B356" s="213"/>
      <c r="C356" s="214"/>
      <c r="E356" s="213"/>
      <c r="F356" s="214"/>
    </row>
    <row r="357">
      <c r="B357" s="213"/>
      <c r="C357" s="214"/>
      <c r="E357" s="213"/>
      <c r="F357" s="214"/>
    </row>
    <row r="358">
      <c r="B358" s="213"/>
      <c r="C358" s="214"/>
      <c r="E358" s="213"/>
      <c r="F358" s="214"/>
    </row>
    <row r="359">
      <c r="B359" s="213"/>
      <c r="C359" s="214"/>
      <c r="E359" s="213"/>
      <c r="F359" s="214"/>
    </row>
    <row r="360">
      <c r="B360" s="213"/>
      <c r="C360" s="214"/>
      <c r="E360" s="213"/>
      <c r="F360" s="214"/>
    </row>
    <row r="361">
      <c r="B361" s="213"/>
      <c r="C361" s="214"/>
      <c r="E361" s="213"/>
      <c r="F361" s="214"/>
    </row>
    <row r="362">
      <c r="B362" s="213"/>
      <c r="C362" s="214"/>
      <c r="E362" s="213"/>
      <c r="F362" s="214"/>
    </row>
    <row r="363">
      <c r="B363" s="213"/>
      <c r="C363" s="214"/>
      <c r="E363" s="213"/>
      <c r="F363" s="214"/>
    </row>
    <row r="364">
      <c r="B364" s="213"/>
      <c r="C364" s="214"/>
      <c r="E364" s="213"/>
      <c r="F364" s="214"/>
    </row>
    <row r="365">
      <c r="B365" s="213"/>
      <c r="C365" s="214"/>
      <c r="E365" s="213"/>
      <c r="F365" s="214"/>
    </row>
    <row r="366">
      <c r="B366" s="213"/>
      <c r="C366" s="214"/>
      <c r="E366" s="213"/>
      <c r="F366" s="214"/>
    </row>
    <row r="367">
      <c r="B367" s="213"/>
      <c r="C367" s="214"/>
      <c r="E367" s="213"/>
      <c r="F367" s="214"/>
    </row>
    <row r="368">
      <c r="B368" s="213"/>
      <c r="C368" s="214"/>
      <c r="E368" s="213"/>
      <c r="F368" s="214"/>
    </row>
    <row r="369">
      <c r="B369" s="213"/>
      <c r="C369" s="214"/>
      <c r="E369" s="213"/>
      <c r="F369" s="214"/>
    </row>
    <row r="370">
      <c r="B370" s="213"/>
      <c r="C370" s="214"/>
      <c r="E370" s="213"/>
      <c r="F370" s="214"/>
    </row>
    <row r="371">
      <c r="B371" s="213"/>
      <c r="C371" s="214"/>
      <c r="E371" s="213"/>
      <c r="F371" s="214"/>
    </row>
    <row r="372">
      <c r="B372" s="213"/>
      <c r="C372" s="214"/>
      <c r="E372" s="213"/>
      <c r="F372" s="214"/>
    </row>
    <row r="373">
      <c r="B373" s="213"/>
      <c r="C373" s="214"/>
      <c r="E373" s="213"/>
      <c r="F373" s="214"/>
    </row>
    <row r="374">
      <c r="B374" s="213"/>
      <c r="C374" s="214"/>
      <c r="E374" s="213"/>
      <c r="F374" s="214"/>
    </row>
    <row r="375">
      <c r="B375" s="213"/>
      <c r="C375" s="214"/>
      <c r="E375" s="213"/>
      <c r="F375" s="214"/>
    </row>
    <row r="376">
      <c r="B376" s="213"/>
      <c r="C376" s="214"/>
      <c r="E376" s="213"/>
      <c r="F376" s="214"/>
    </row>
    <row r="377">
      <c r="B377" s="213"/>
      <c r="C377" s="214"/>
      <c r="E377" s="213"/>
      <c r="F377" s="214"/>
    </row>
    <row r="378">
      <c r="B378" s="213"/>
      <c r="C378" s="214"/>
      <c r="E378" s="213"/>
      <c r="F378" s="214"/>
    </row>
    <row r="379">
      <c r="B379" s="213"/>
      <c r="C379" s="214"/>
      <c r="E379" s="213"/>
      <c r="F379" s="214"/>
    </row>
    <row r="380">
      <c r="B380" s="213"/>
      <c r="C380" s="214"/>
      <c r="E380" s="213"/>
      <c r="F380" s="214"/>
    </row>
    <row r="381">
      <c r="B381" s="213"/>
      <c r="C381" s="214"/>
      <c r="E381" s="213"/>
      <c r="F381" s="214"/>
    </row>
    <row r="382">
      <c r="B382" s="213"/>
      <c r="C382" s="214"/>
      <c r="E382" s="213"/>
      <c r="F382" s="214"/>
    </row>
    <row r="383">
      <c r="B383" s="213"/>
      <c r="C383" s="214"/>
      <c r="E383" s="213"/>
      <c r="F383" s="214"/>
    </row>
    <row r="384">
      <c r="B384" s="213"/>
      <c r="C384" s="214"/>
      <c r="E384" s="213"/>
      <c r="F384" s="214"/>
    </row>
    <row r="385">
      <c r="B385" s="213"/>
      <c r="C385" s="214"/>
      <c r="E385" s="213"/>
      <c r="F385" s="214"/>
    </row>
    <row r="386">
      <c r="B386" s="213"/>
      <c r="C386" s="214"/>
      <c r="E386" s="213"/>
      <c r="F386" s="214"/>
    </row>
    <row r="387">
      <c r="B387" s="213"/>
      <c r="C387" s="214"/>
      <c r="E387" s="213"/>
      <c r="F387" s="214"/>
    </row>
    <row r="388">
      <c r="B388" s="213"/>
      <c r="C388" s="214"/>
      <c r="E388" s="213"/>
      <c r="F388" s="214"/>
    </row>
    <row r="389">
      <c r="B389" s="213"/>
      <c r="C389" s="214"/>
      <c r="E389" s="213"/>
      <c r="F389" s="214"/>
    </row>
    <row r="390">
      <c r="B390" s="213"/>
      <c r="C390" s="214"/>
      <c r="E390" s="213"/>
      <c r="F390" s="214"/>
    </row>
    <row r="391">
      <c r="B391" s="213"/>
      <c r="C391" s="214"/>
      <c r="E391" s="213"/>
      <c r="F391" s="214"/>
    </row>
    <row r="392">
      <c r="B392" s="213"/>
      <c r="C392" s="214"/>
      <c r="E392" s="213"/>
      <c r="F392" s="214"/>
    </row>
    <row r="393">
      <c r="B393" s="213"/>
      <c r="C393" s="214"/>
      <c r="E393" s="213"/>
      <c r="F393" s="214"/>
    </row>
    <row r="394">
      <c r="B394" s="213"/>
      <c r="C394" s="214"/>
      <c r="E394" s="213"/>
      <c r="F394" s="214"/>
    </row>
    <row r="395">
      <c r="B395" s="213"/>
      <c r="C395" s="214"/>
      <c r="E395" s="213"/>
      <c r="F395" s="214"/>
    </row>
    <row r="396">
      <c r="B396" s="213"/>
      <c r="C396" s="214"/>
      <c r="E396" s="213"/>
      <c r="F396" s="214"/>
    </row>
    <row r="397">
      <c r="B397" s="213"/>
      <c r="C397" s="214"/>
      <c r="E397" s="213"/>
      <c r="F397" s="214"/>
    </row>
    <row r="398">
      <c r="B398" s="213"/>
      <c r="C398" s="214"/>
      <c r="E398" s="213"/>
      <c r="F398" s="214"/>
    </row>
    <row r="399">
      <c r="B399" s="213"/>
      <c r="C399" s="214"/>
      <c r="E399" s="213"/>
      <c r="F399" s="214"/>
    </row>
    <row r="400">
      <c r="B400" s="213"/>
      <c r="C400" s="214"/>
      <c r="E400" s="213"/>
      <c r="F400" s="214"/>
    </row>
    <row r="401">
      <c r="B401" s="213"/>
      <c r="C401" s="214"/>
      <c r="E401" s="213"/>
      <c r="F401" s="214"/>
    </row>
    <row r="402">
      <c r="B402" s="213"/>
      <c r="C402" s="214"/>
      <c r="E402" s="213"/>
      <c r="F402" s="214"/>
    </row>
    <row r="403">
      <c r="B403" s="213"/>
      <c r="C403" s="214"/>
      <c r="E403" s="213"/>
      <c r="F403" s="214"/>
    </row>
    <row r="404">
      <c r="B404" s="213"/>
      <c r="C404" s="214"/>
      <c r="E404" s="213"/>
      <c r="F404" s="214"/>
    </row>
    <row r="405">
      <c r="B405" s="213"/>
      <c r="C405" s="214"/>
      <c r="E405" s="213"/>
      <c r="F405" s="214"/>
    </row>
    <row r="406">
      <c r="B406" s="213"/>
      <c r="C406" s="214"/>
      <c r="E406" s="213"/>
      <c r="F406" s="214"/>
    </row>
    <row r="407">
      <c r="B407" s="213"/>
      <c r="C407" s="214"/>
      <c r="E407" s="213"/>
      <c r="F407" s="214"/>
    </row>
    <row r="408">
      <c r="B408" s="213"/>
      <c r="C408" s="214"/>
      <c r="E408" s="213"/>
      <c r="F408" s="214"/>
    </row>
    <row r="409">
      <c r="B409" s="213"/>
      <c r="C409" s="214"/>
      <c r="E409" s="213"/>
      <c r="F409" s="214"/>
    </row>
    <row r="410">
      <c r="B410" s="213"/>
      <c r="C410" s="214"/>
      <c r="E410" s="213"/>
      <c r="F410" s="214"/>
    </row>
    <row r="411">
      <c r="B411" s="213"/>
      <c r="C411" s="214"/>
      <c r="E411" s="213"/>
      <c r="F411" s="214"/>
    </row>
    <row r="412">
      <c r="B412" s="213"/>
      <c r="C412" s="214"/>
      <c r="E412" s="213"/>
      <c r="F412" s="214"/>
    </row>
    <row r="413">
      <c r="B413" s="213"/>
      <c r="C413" s="214"/>
      <c r="E413" s="213"/>
      <c r="F413" s="214"/>
    </row>
    <row r="414">
      <c r="B414" s="213"/>
      <c r="C414" s="214"/>
      <c r="E414" s="213"/>
      <c r="F414" s="214"/>
    </row>
    <row r="415">
      <c r="B415" s="213"/>
      <c r="C415" s="214"/>
      <c r="E415" s="213"/>
      <c r="F415" s="214"/>
    </row>
    <row r="416">
      <c r="B416" s="213"/>
      <c r="C416" s="214"/>
      <c r="E416" s="213"/>
      <c r="F416" s="214"/>
    </row>
    <row r="417">
      <c r="B417" s="213"/>
      <c r="C417" s="214"/>
      <c r="E417" s="213"/>
      <c r="F417" s="214"/>
    </row>
    <row r="418">
      <c r="B418" s="213"/>
      <c r="C418" s="214"/>
      <c r="E418" s="213"/>
      <c r="F418" s="214"/>
    </row>
    <row r="419">
      <c r="B419" s="213"/>
      <c r="C419" s="214"/>
      <c r="E419" s="213"/>
      <c r="F419" s="214"/>
    </row>
    <row r="420">
      <c r="B420" s="213"/>
      <c r="C420" s="214"/>
      <c r="E420" s="213"/>
      <c r="F420" s="214"/>
    </row>
    <row r="421">
      <c r="B421" s="213"/>
      <c r="C421" s="214"/>
      <c r="E421" s="213"/>
      <c r="F421" s="214"/>
    </row>
    <row r="422">
      <c r="B422" s="213"/>
      <c r="C422" s="214"/>
      <c r="E422" s="213"/>
      <c r="F422" s="214"/>
    </row>
    <row r="423">
      <c r="B423" s="213"/>
      <c r="C423" s="214"/>
      <c r="E423" s="213"/>
      <c r="F423" s="214"/>
    </row>
    <row r="424">
      <c r="B424" s="213"/>
      <c r="C424" s="214"/>
      <c r="E424" s="213"/>
      <c r="F424" s="214"/>
    </row>
    <row r="425">
      <c r="B425" s="213"/>
      <c r="C425" s="214"/>
      <c r="E425" s="213"/>
      <c r="F425" s="214"/>
    </row>
    <row r="426">
      <c r="B426" s="213"/>
      <c r="C426" s="214"/>
      <c r="E426" s="213"/>
      <c r="F426" s="214"/>
    </row>
    <row r="427">
      <c r="B427" s="213"/>
      <c r="C427" s="214"/>
      <c r="E427" s="213"/>
      <c r="F427" s="214"/>
    </row>
    <row r="428">
      <c r="B428" s="213"/>
      <c r="C428" s="214"/>
      <c r="E428" s="213"/>
      <c r="F428" s="214"/>
    </row>
    <row r="429">
      <c r="B429" s="213"/>
      <c r="C429" s="214"/>
      <c r="E429" s="213"/>
      <c r="F429" s="214"/>
    </row>
    <row r="430">
      <c r="B430" s="213"/>
      <c r="C430" s="214"/>
      <c r="E430" s="213"/>
      <c r="F430" s="214"/>
    </row>
    <row r="431">
      <c r="B431" s="213"/>
      <c r="C431" s="214"/>
      <c r="E431" s="213"/>
      <c r="F431" s="214"/>
    </row>
    <row r="432">
      <c r="B432" s="213"/>
      <c r="C432" s="214"/>
      <c r="E432" s="213"/>
      <c r="F432" s="214"/>
    </row>
    <row r="433">
      <c r="B433" s="213"/>
      <c r="C433" s="214"/>
      <c r="E433" s="213"/>
      <c r="F433" s="214"/>
    </row>
    <row r="434">
      <c r="B434" s="213"/>
      <c r="C434" s="214"/>
      <c r="E434" s="213"/>
      <c r="F434" s="214"/>
    </row>
    <row r="435">
      <c r="B435" s="213"/>
      <c r="C435" s="214"/>
      <c r="E435" s="213"/>
      <c r="F435" s="214"/>
    </row>
    <row r="436">
      <c r="B436" s="213"/>
      <c r="C436" s="214"/>
      <c r="E436" s="213"/>
      <c r="F436" s="214"/>
    </row>
    <row r="437">
      <c r="B437" s="213"/>
      <c r="C437" s="214"/>
      <c r="E437" s="213"/>
      <c r="F437" s="214"/>
    </row>
    <row r="438">
      <c r="B438" s="213"/>
      <c r="C438" s="214"/>
      <c r="E438" s="213"/>
      <c r="F438" s="214"/>
    </row>
    <row r="439">
      <c r="B439" s="213"/>
      <c r="C439" s="214"/>
      <c r="E439" s="213"/>
      <c r="F439" s="214"/>
    </row>
    <row r="440">
      <c r="B440" s="213"/>
      <c r="C440" s="214"/>
      <c r="E440" s="213"/>
      <c r="F440" s="214"/>
    </row>
    <row r="441">
      <c r="B441" s="213"/>
      <c r="C441" s="214"/>
      <c r="E441" s="213"/>
      <c r="F441" s="214"/>
    </row>
    <row r="442">
      <c r="B442" s="213"/>
      <c r="C442" s="214"/>
      <c r="E442" s="213"/>
      <c r="F442" s="214"/>
    </row>
    <row r="443">
      <c r="B443" s="213"/>
      <c r="C443" s="214"/>
      <c r="E443" s="213"/>
      <c r="F443" s="214"/>
    </row>
    <row r="444">
      <c r="B444" s="213"/>
      <c r="C444" s="214"/>
      <c r="E444" s="213"/>
      <c r="F444" s="214"/>
    </row>
    <row r="445">
      <c r="B445" s="213"/>
      <c r="C445" s="214"/>
      <c r="E445" s="213"/>
      <c r="F445" s="214"/>
    </row>
    <row r="446">
      <c r="B446" s="213"/>
      <c r="C446" s="214"/>
      <c r="E446" s="213"/>
      <c r="F446" s="214"/>
    </row>
    <row r="447">
      <c r="B447" s="213"/>
      <c r="C447" s="214"/>
      <c r="E447" s="213"/>
      <c r="F447" s="214"/>
    </row>
    <row r="448">
      <c r="B448" s="213"/>
      <c r="C448" s="214"/>
      <c r="E448" s="213"/>
      <c r="F448" s="214"/>
    </row>
    <row r="449">
      <c r="B449" s="213"/>
      <c r="C449" s="214"/>
      <c r="E449" s="213"/>
      <c r="F449" s="214"/>
    </row>
    <row r="450">
      <c r="B450" s="213"/>
      <c r="C450" s="214"/>
      <c r="E450" s="213"/>
      <c r="F450" s="214"/>
    </row>
    <row r="451">
      <c r="B451" s="213"/>
      <c r="C451" s="214"/>
      <c r="E451" s="213"/>
      <c r="F451" s="214"/>
    </row>
    <row r="452">
      <c r="B452" s="213"/>
      <c r="C452" s="214"/>
      <c r="E452" s="213"/>
      <c r="F452" s="214"/>
    </row>
    <row r="453">
      <c r="B453" s="213"/>
      <c r="C453" s="214"/>
      <c r="E453" s="213"/>
      <c r="F453" s="214"/>
    </row>
    <row r="454">
      <c r="B454" s="213"/>
      <c r="C454" s="214"/>
      <c r="E454" s="213"/>
      <c r="F454" s="214"/>
    </row>
    <row r="455">
      <c r="B455" s="213"/>
      <c r="C455" s="214"/>
      <c r="E455" s="213"/>
      <c r="F455" s="214"/>
    </row>
    <row r="456">
      <c r="B456" s="213"/>
      <c r="C456" s="214"/>
      <c r="E456" s="213"/>
      <c r="F456" s="214"/>
    </row>
    <row r="457">
      <c r="B457" s="213"/>
      <c r="C457" s="214"/>
      <c r="E457" s="213"/>
      <c r="F457" s="214"/>
    </row>
    <row r="458">
      <c r="B458" s="213"/>
      <c r="C458" s="214"/>
      <c r="E458" s="213"/>
      <c r="F458" s="214"/>
    </row>
    <row r="459">
      <c r="B459" s="213"/>
      <c r="C459" s="214"/>
      <c r="E459" s="213"/>
      <c r="F459" s="214"/>
    </row>
    <row r="460">
      <c r="B460" s="213"/>
      <c r="C460" s="214"/>
      <c r="E460" s="213"/>
      <c r="F460" s="214"/>
    </row>
    <row r="461">
      <c r="B461" s="213"/>
      <c r="C461" s="214"/>
      <c r="E461" s="213"/>
      <c r="F461" s="214"/>
    </row>
    <row r="462">
      <c r="B462" s="213"/>
      <c r="C462" s="214"/>
      <c r="E462" s="213"/>
      <c r="F462" s="214"/>
    </row>
    <row r="463">
      <c r="B463" s="213"/>
      <c r="C463" s="214"/>
      <c r="E463" s="213"/>
      <c r="F463" s="214"/>
    </row>
    <row r="464">
      <c r="B464" s="213"/>
      <c r="C464" s="214"/>
      <c r="E464" s="213"/>
      <c r="F464" s="214"/>
    </row>
    <row r="465">
      <c r="B465" s="213"/>
      <c r="C465" s="214"/>
      <c r="E465" s="213"/>
      <c r="F465" s="214"/>
    </row>
    <row r="466">
      <c r="B466" s="213"/>
      <c r="C466" s="214"/>
      <c r="E466" s="213"/>
      <c r="F466" s="214"/>
    </row>
    <row r="467">
      <c r="B467" s="213"/>
      <c r="C467" s="214"/>
      <c r="E467" s="213"/>
      <c r="F467" s="214"/>
    </row>
    <row r="468">
      <c r="B468" s="213"/>
      <c r="C468" s="214"/>
      <c r="E468" s="213"/>
      <c r="F468" s="214"/>
    </row>
    <row r="469">
      <c r="B469" s="213"/>
      <c r="C469" s="214"/>
      <c r="E469" s="213"/>
      <c r="F469" s="214"/>
    </row>
    <row r="470">
      <c r="B470" s="213"/>
      <c r="C470" s="214"/>
      <c r="E470" s="213"/>
      <c r="F470" s="214"/>
    </row>
    <row r="471">
      <c r="B471" s="213"/>
      <c r="C471" s="214"/>
      <c r="E471" s="213"/>
      <c r="F471" s="214"/>
    </row>
    <row r="472">
      <c r="B472" s="213"/>
      <c r="C472" s="214"/>
      <c r="E472" s="213"/>
      <c r="F472" s="214"/>
    </row>
    <row r="473">
      <c r="B473" s="213"/>
      <c r="C473" s="214"/>
      <c r="E473" s="213"/>
      <c r="F473" s="214"/>
    </row>
    <row r="474">
      <c r="B474" s="213"/>
      <c r="C474" s="214"/>
      <c r="E474" s="213"/>
      <c r="F474" s="214"/>
    </row>
    <row r="475">
      <c r="B475" s="213"/>
      <c r="C475" s="214"/>
      <c r="E475" s="213"/>
      <c r="F475" s="214"/>
    </row>
    <row r="476">
      <c r="B476" s="213"/>
      <c r="C476" s="214"/>
      <c r="E476" s="213"/>
      <c r="F476" s="214"/>
    </row>
    <row r="477">
      <c r="B477" s="213"/>
      <c r="C477" s="214"/>
      <c r="E477" s="213"/>
      <c r="F477" s="214"/>
    </row>
    <row r="478">
      <c r="B478" s="213"/>
      <c r="C478" s="214"/>
      <c r="E478" s="213"/>
      <c r="F478" s="214"/>
    </row>
    <row r="479">
      <c r="B479" s="213"/>
      <c r="C479" s="214"/>
      <c r="E479" s="213"/>
      <c r="F479" s="214"/>
    </row>
    <row r="480">
      <c r="B480" s="213"/>
      <c r="C480" s="214"/>
      <c r="E480" s="213"/>
      <c r="F480" s="214"/>
    </row>
    <row r="481">
      <c r="B481" s="213"/>
      <c r="C481" s="214"/>
      <c r="E481" s="213"/>
      <c r="F481" s="214"/>
    </row>
    <row r="482">
      <c r="B482" s="213"/>
      <c r="C482" s="214"/>
      <c r="E482" s="213"/>
      <c r="F482" s="214"/>
    </row>
    <row r="483">
      <c r="B483" s="213"/>
      <c r="C483" s="214"/>
      <c r="E483" s="213"/>
      <c r="F483" s="214"/>
    </row>
    <row r="484">
      <c r="B484" s="213"/>
      <c r="C484" s="214"/>
      <c r="E484" s="213"/>
      <c r="F484" s="214"/>
    </row>
    <row r="485">
      <c r="B485" s="213"/>
      <c r="C485" s="214"/>
      <c r="E485" s="213"/>
      <c r="F485" s="214"/>
    </row>
    <row r="486">
      <c r="B486" s="213"/>
      <c r="C486" s="214"/>
      <c r="E486" s="213"/>
      <c r="F486" s="214"/>
    </row>
    <row r="487">
      <c r="B487" s="213"/>
      <c r="C487" s="214"/>
      <c r="E487" s="213"/>
      <c r="F487" s="214"/>
    </row>
    <row r="488">
      <c r="B488" s="213"/>
      <c r="C488" s="214"/>
      <c r="E488" s="213"/>
      <c r="F488" s="214"/>
    </row>
    <row r="489">
      <c r="B489" s="213"/>
      <c r="C489" s="214"/>
      <c r="E489" s="213"/>
      <c r="F489" s="214"/>
    </row>
    <row r="490">
      <c r="B490" s="213"/>
      <c r="C490" s="214"/>
      <c r="E490" s="213"/>
      <c r="F490" s="214"/>
    </row>
    <row r="491">
      <c r="B491" s="213"/>
      <c r="C491" s="214"/>
      <c r="E491" s="213"/>
      <c r="F491" s="214"/>
    </row>
    <row r="492">
      <c r="B492" s="213"/>
      <c r="C492" s="214"/>
      <c r="E492" s="213"/>
      <c r="F492" s="214"/>
    </row>
    <row r="493">
      <c r="B493" s="213"/>
      <c r="C493" s="214"/>
      <c r="E493" s="213"/>
      <c r="F493" s="214"/>
    </row>
    <row r="494">
      <c r="B494" s="213"/>
      <c r="C494" s="214"/>
      <c r="E494" s="213"/>
      <c r="F494" s="214"/>
    </row>
    <row r="495">
      <c r="B495" s="213"/>
      <c r="C495" s="214"/>
      <c r="E495" s="213"/>
      <c r="F495" s="214"/>
    </row>
    <row r="496">
      <c r="B496" s="213"/>
      <c r="C496" s="214"/>
      <c r="E496" s="213"/>
      <c r="F496" s="214"/>
    </row>
    <row r="497">
      <c r="B497" s="213"/>
      <c r="C497" s="214"/>
      <c r="E497" s="213"/>
      <c r="F497" s="214"/>
    </row>
    <row r="498">
      <c r="B498" s="213"/>
      <c r="C498" s="214"/>
      <c r="E498" s="213"/>
      <c r="F498" s="214"/>
    </row>
    <row r="499">
      <c r="B499" s="213"/>
      <c r="C499" s="214"/>
      <c r="E499" s="213"/>
      <c r="F499" s="214"/>
    </row>
    <row r="500">
      <c r="B500" s="213"/>
      <c r="C500" s="214"/>
      <c r="E500" s="213"/>
      <c r="F500" s="214"/>
    </row>
    <row r="501">
      <c r="B501" s="213"/>
      <c r="C501" s="214"/>
      <c r="E501" s="213"/>
      <c r="F501" s="214"/>
    </row>
    <row r="502">
      <c r="B502" s="213"/>
      <c r="C502" s="214"/>
      <c r="E502" s="213"/>
      <c r="F502" s="214"/>
    </row>
    <row r="503">
      <c r="B503" s="213"/>
      <c r="C503" s="214"/>
      <c r="E503" s="213"/>
      <c r="F503" s="214"/>
    </row>
    <row r="504">
      <c r="B504" s="213"/>
      <c r="C504" s="214"/>
      <c r="E504" s="213"/>
      <c r="F504" s="214"/>
    </row>
    <row r="505">
      <c r="B505" s="213"/>
      <c r="C505" s="214"/>
      <c r="E505" s="213"/>
      <c r="F505" s="214"/>
    </row>
    <row r="506">
      <c r="B506" s="213"/>
      <c r="C506" s="214"/>
      <c r="E506" s="213"/>
      <c r="F506" s="214"/>
    </row>
    <row r="507">
      <c r="B507" s="213"/>
      <c r="C507" s="214"/>
      <c r="E507" s="213"/>
      <c r="F507" s="214"/>
    </row>
    <row r="508">
      <c r="B508" s="213"/>
      <c r="C508" s="214"/>
      <c r="E508" s="213"/>
      <c r="F508" s="214"/>
    </row>
    <row r="509">
      <c r="B509" s="213"/>
      <c r="C509" s="214"/>
      <c r="E509" s="213"/>
      <c r="F509" s="214"/>
    </row>
    <row r="510">
      <c r="B510" s="213"/>
      <c r="C510" s="214"/>
      <c r="E510" s="213"/>
      <c r="F510" s="214"/>
    </row>
    <row r="511">
      <c r="B511" s="213"/>
      <c r="C511" s="214"/>
      <c r="E511" s="213"/>
      <c r="F511" s="214"/>
    </row>
    <row r="512">
      <c r="B512" s="213"/>
      <c r="C512" s="214"/>
      <c r="E512" s="213"/>
      <c r="F512" s="214"/>
    </row>
    <row r="513">
      <c r="B513" s="213"/>
      <c r="C513" s="214"/>
      <c r="E513" s="213"/>
      <c r="F513" s="214"/>
    </row>
    <row r="514">
      <c r="B514" s="213"/>
      <c r="C514" s="214"/>
      <c r="E514" s="213"/>
      <c r="F514" s="214"/>
    </row>
    <row r="515">
      <c r="B515" s="213"/>
      <c r="C515" s="214"/>
      <c r="E515" s="213"/>
      <c r="F515" s="214"/>
    </row>
    <row r="516">
      <c r="B516" s="213"/>
      <c r="C516" s="214"/>
      <c r="E516" s="213"/>
      <c r="F516" s="214"/>
    </row>
    <row r="517">
      <c r="B517" s="213"/>
      <c r="C517" s="214"/>
      <c r="E517" s="213"/>
      <c r="F517" s="214"/>
    </row>
    <row r="518">
      <c r="B518" s="213"/>
      <c r="C518" s="214"/>
      <c r="E518" s="213"/>
      <c r="F518" s="214"/>
    </row>
    <row r="519">
      <c r="B519" s="213"/>
      <c r="C519" s="214"/>
      <c r="E519" s="213"/>
      <c r="F519" s="214"/>
    </row>
    <row r="520">
      <c r="B520" s="213"/>
      <c r="C520" s="214"/>
      <c r="E520" s="213"/>
      <c r="F520" s="214"/>
    </row>
    <row r="521">
      <c r="B521" s="213"/>
      <c r="C521" s="214"/>
      <c r="E521" s="213"/>
      <c r="F521" s="214"/>
    </row>
    <row r="522">
      <c r="B522" s="213"/>
      <c r="C522" s="214"/>
      <c r="E522" s="213"/>
      <c r="F522" s="214"/>
    </row>
    <row r="523">
      <c r="B523" s="213"/>
      <c r="C523" s="214"/>
      <c r="E523" s="213"/>
      <c r="F523" s="214"/>
    </row>
    <row r="524">
      <c r="B524" s="213"/>
      <c r="C524" s="214"/>
      <c r="E524" s="213"/>
      <c r="F524" s="214"/>
    </row>
    <row r="525">
      <c r="B525" s="213"/>
      <c r="C525" s="214"/>
      <c r="E525" s="213"/>
      <c r="F525" s="214"/>
    </row>
    <row r="526">
      <c r="B526" s="213"/>
      <c r="C526" s="214"/>
      <c r="E526" s="213"/>
      <c r="F526" s="214"/>
    </row>
    <row r="527">
      <c r="B527" s="213"/>
      <c r="C527" s="214"/>
      <c r="E527" s="213"/>
      <c r="F527" s="214"/>
    </row>
    <row r="528">
      <c r="B528" s="213"/>
      <c r="C528" s="214"/>
      <c r="E528" s="213"/>
      <c r="F528" s="214"/>
    </row>
    <row r="529">
      <c r="B529" s="213"/>
      <c r="C529" s="214"/>
      <c r="E529" s="213"/>
      <c r="F529" s="214"/>
    </row>
    <row r="530">
      <c r="B530" s="213"/>
      <c r="C530" s="214"/>
      <c r="E530" s="213"/>
      <c r="F530" s="214"/>
    </row>
    <row r="531">
      <c r="B531" s="213"/>
      <c r="C531" s="214"/>
      <c r="E531" s="213"/>
      <c r="F531" s="214"/>
    </row>
    <row r="532">
      <c r="B532" s="213"/>
      <c r="C532" s="214"/>
      <c r="E532" s="213"/>
      <c r="F532" s="214"/>
    </row>
    <row r="533">
      <c r="B533" s="213"/>
      <c r="C533" s="214"/>
      <c r="E533" s="213"/>
      <c r="F533" s="214"/>
    </row>
    <row r="534">
      <c r="B534" s="213"/>
      <c r="C534" s="214"/>
      <c r="E534" s="213"/>
      <c r="F534" s="214"/>
    </row>
    <row r="535">
      <c r="B535" s="213"/>
      <c r="C535" s="214"/>
      <c r="E535" s="213"/>
      <c r="F535" s="214"/>
    </row>
    <row r="536">
      <c r="B536" s="213"/>
      <c r="C536" s="214"/>
      <c r="E536" s="213"/>
      <c r="F536" s="214"/>
    </row>
    <row r="537">
      <c r="B537" s="213"/>
      <c r="C537" s="214"/>
      <c r="E537" s="213"/>
      <c r="F537" s="214"/>
    </row>
    <row r="538">
      <c r="B538" s="213"/>
      <c r="C538" s="214"/>
      <c r="E538" s="213"/>
      <c r="F538" s="214"/>
    </row>
    <row r="539">
      <c r="B539" s="213"/>
      <c r="C539" s="214"/>
      <c r="E539" s="213"/>
      <c r="F539" s="214"/>
    </row>
    <row r="540">
      <c r="B540" s="213"/>
      <c r="C540" s="214"/>
      <c r="E540" s="213"/>
      <c r="F540" s="214"/>
    </row>
    <row r="541">
      <c r="B541" s="213"/>
      <c r="C541" s="214"/>
      <c r="E541" s="213"/>
      <c r="F541" s="214"/>
    </row>
    <row r="542">
      <c r="B542" s="213"/>
      <c r="C542" s="214"/>
      <c r="E542" s="213"/>
      <c r="F542" s="214"/>
    </row>
    <row r="543">
      <c r="B543" s="213"/>
      <c r="C543" s="214"/>
      <c r="E543" s="213"/>
      <c r="F543" s="214"/>
    </row>
    <row r="544">
      <c r="B544" s="213"/>
      <c r="C544" s="214"/>
      <c r="E544" s="213"/>
      <c r="F544" s="214"/>
    </row>
    <row r="545">
      <c r="B545" s="213"/>
      <c r="C545" s="214"/>
      <c r="E545" s="213"/>
      <c r="F545" s="214"/>
    </row>
    <row r="546">
      <c r="B546" s="213"/>
      <c r="C546" s="214"/>
      <c r="E546" s="213"/>
      <c r="F546" s="214"/>
    </row>
    <row r="547">
      <c r="B547" s="213"/>
      <c r="C547" s="214"/>
      <c r="E547" s="213"/>
      <c r="F547" s="214"/>
    </row>
    <row r="548">
      <c r="B548" s="213"/>
      <c r="C548" s="214"/>
      <c r="E548" s="213"/>
      <c r="F548" s="214"/>
    </row>
    <row r="549">
      <c r="B549" s="213"/>
      <c r="C549" s="214"/>
      <c r="E549" s="213"/>
      <c r="F549" s="214"/>
    </row>
    <row r="550">
      <c r="B550" s="213"/>
      <c r="C550" s="214"/>
      <c r="E550" s="213"/>
      <c r="F550" s="214"/>
    </row>
    <row r="551">
      <c r="B551" s="213"/>
      <c r="C551" s="214"/>
      <c r="E551" s="213"/>
      <c r="F551" s="214"/>
    </row>
    <row r="552">
      <c r="B552" s="213"/>
      <c r="C552" s="214"/>
      <c r="E552" s="213"/>
      <c r="F552" s="214"/>
    </row>
    <row r="553">
      <c r="B553" s="213"/>
      <c r="C553" s="214"/>
      <c r="E553" s="213"/>
      <c r="F553" s="214"/>
    </row>
    <row r="554">
      <c r="B554" s="213"/>
      <c r="C554" s="214"/>
      <c r="E554" s="213"/>
      <c r="F554" s="214"/>
    </row>
    <row r="555">
      <c r="B555" s="213"/>
      <c r="C555" s="214"/>
      <c r="E555" s="213"/>
      <c r="F555" s="214"/>
    </row>
    <row r="556">
      <c r="B556" s="213"/>
      <c r="C556" s="214"/>
      <c r="E556" s="213"/>
      <c r="F556" s="214"/>
    </row>
    <row r="557">
      <c r="B557" s="213"/>
      <c r="C557" s="214"/>
      <c r="E557" s="213"/>
      <c r="F557" s="214"/>
    </row>
    <row r="558">
      <c r="B558" s="213"/>
      <c r="C558" s="214"/>
      <c r="E558" s="213"/>
      <c r="F558" s="214"/>
    </row>
    <row r="559">
      <c r="B559" s="213"/>
      <c r="C559" s="214"/>
      <c r="E559" s="213"/>
      <c r="F559" s="214"/>
    </row>
    <row r="560">
      <c r="B560" s="213"/>
      <c r="C560" s="214"/>
      <c r="E560" s="213"/>
      <c r="F560" s="214"/>
    </row>
    <row r="561">
      <c r="B561" s="213"/>
      <c r="C561" s="214"/>
      <c r="E561" s="213"/>
      <c r="F561" s="214"/>
    </row>
    <row r="562">
      <c r="B562" s="213"/>
      <c r="C562" s="214"/>
      <c r="E562" s="213"/>
      <c r="F562" s="214"/>
    </row>
    <row r="563">
      <c r="B563" s="213"/>
      <c r="C563" s="214"/>
      <c r="E563" s="213"/>
      <c r="F563" s="214"/>
    </row>
    <row r="564">
      <c r="B564" s="213"/>
      <c r="C564" s="214"/>
      <c r="E564" s="213"/>
      <c r="F564" s="214"/>
    </row>
    <row r="565">
      <c r="B565" s="213"/>
      <c r="C565" s="214"/>
      <c r="E565" s="213"/>
      <c r="F565" s="214"/>
    </row>
    <row r="566">
      <c r="B566" s="213"/>
      <c r="C566" s="214"/>
      <c r="E566" s="213"/>
      <c r="F566" s="214"/>
    </row>
    <row r="567">
      <c r="B567" s="213"/>
      <c r="C567" s="214"/>
      <c r="E567" s="213"/>
      <c r="F567" s="214"/>
    </row>
    <row r="568">
      <c r="B568" s="213"/>
      <c r="C568" s="214"/>
      <c r="E568" s="213"/>
      <c r="F568" s="214"/>
    </row>
    <row r="569">
      <c r="B569" s="213"/>
      <c r="C569" s="214"/>
      <c r="E569" s="213"/>
      <c r="F569" s="214"/>
    </row>
    <row r="570">
      <c r="B570" s="213"/>
      <c r="C570" s="214"/>
      <c r="E570" s="213"/>
      <c r="F570" s="214"/>
    </row>
    <row r="571">
      <c r="B571" s="213"/>
      <c r="C571" s="214"/>
      <c r="E571" s="213"/>
      <c r="F571" s="214"/>
    </row>
    <row r="572">
      <c r="B572" s="213"/>
      <c r="C572" s="214"/>
      <c r="E572" s="213"/>
      <c r="F572" s="214"/>
    </row>
    <row r="573">
      <c r="B573" s="213"/>
      <c r="C573" s="214"/>
      <c r="E573" s="213"/>
      <c r="F573" s="214"/>
    </row>
    <row r="574">
      <c r="B574" s="213"/>
      <c r="C574" s="214"/>
      <c r="E574" s="213"/>
      <c r="F574" s="214"/>
    </row>
    <row r="575">
      <c r="B575" s="213"/>
      <c r="C575" s="214"/>
      <c r="E575" s="213"/>
      <c r="F575" s="214"/>
    </row>
    <row r="576">
      <c r="B576" s="213"/>
      <c r="C576" s="214"/>
      <c r="E576" s="213"/>
      <c r="F576" s="214"/>
    </row>
    <row r="577">
      <c r="B577" s="213"/>
      <c r="C577" s="214"/>
      <c r="E577" s="213"/>
      <c r="F577" s="214"/>
    </row>
    <row r="578">
      <c r="B578" s="213"/>
      <c r="C578" s="214"/>
      <c r="E578" s="213"/>
      <c r="F578" s="214"/>
    </row>
    <row r="579">
      <c r="B579" s="213"/>
      <c r="C579" s="214"/>
      <c r="E579" s="213"/>
      <c r="F579" s="214"/>
    </row>
    <row r="580">
      <c r="B580" s="213"/>
      <c r="C580" s="214"/>
      <c r="E580" s="213"/>
      <c r="F580" s="214"/>
    </row>
    <row r="581">
      <c r="B581" s="213"/>
      <c r="C581" s="214"/>
      <c r="E581" s="213"/>
      <c r="F581" s="214"/>
    </row>
    <row r="582">
      <c r="B582" s="213"/>
      <c r="C582" s="214"/>
      <c r="E582" s="213"/>
      <c r="F582" s="214"/>
    </row>
    <row r="583">
      <c r="B583" s="213"/>
      <c r="C583" s="214"/>
      <c r="E583" s="213"/>
      <c r="F583" s="214"/>
    </row>
    <row r="584">
      <c r="B584" s="213"/>
      <c r="C584" s="214"/>
      <c r="E584" s="213"/>
      <c r="F584" s="214"/>
    </row>
    <row r="585">
      <c r="B585" s="213"/>
      <c r="C585" s="214"/>
      <c r="E585" s="213"/>
      <c r="F585" s="214"/>
    </row>
    <row r="586">
      <c r="B586" s="213"/>
      <c r="C586" s="214"/>
      <c r="E586" s="213"/>
      <c r="F586" s="214"/>
    </row>
    <row r="587">
      <c r="B587" s="213"/>
      <c r="C587" s="214"/>
      <c r="E587" s="213"/>
      <c r="F587" s="214"/>
    </row>
    <row r="588">
      <c r="B588" s="213"/>
      <c r="C588" s="214"/>
      <c r="E588" s="213"/>
      <c r="F588" s="214"/>
    </row>
    <row r="589">
      <c r="B589" s="213"/>
      <c r="C589" s="214"/>
      <c r="E589" s="213"/>
      <c r="F589" s="214"/>
    </row>
    <row r="590">
      <c r="B590" s="213"/>
      <c r="C590" s="214"/>
      <c r="E590" s="213"/>
      <c r="F590" s="214"/>
    </row>
    <row r="591">
      <c r="B591" s="213"/>
      <c r="C591" s="214"/>
      <c r="E591" s="213"/>
      <c r="F591" s="214"/>
    </row>
    <row r="592">
      <c r="B592" s="213"/>
      <c r="C592" s="214"/>
      <c r="E592" s="213"/>
      <c r="F592" s="214"/>
    </row>
    <row r="593">
      <c r="B593" s="213"/>
      <c r="C593" s="214"/>
      <c r="E593" s="213"/>
      <c r="F593" s="214"/>
    </row>
    <row r="594">
      <c r="B594" s="213"/>
      <c r="C594" s="214"/>
      <c r="E594" s="213"/>
      <c r="F594" s="214"/>
    </row>
    <row r="595">
      <c r="B595" s="213"/>
      <c r="C595" s="214"/>
      <c r="E595" s="213"/>
      <c r="F595" s="214"/>
    </row>
    <row r="596">
      <c r="B596" s="213"/>
      <c r="C596" s="214"/>
      <c r="E596" s="213"/>
      <c r="F596" s="214"/>
    </row>
    <row r="597">
      <c r="B597" s="213"/>
      <c r="C597" s="214"/>
      <c r="E597" s="213"/>
      <c r="F597" s="214"/>
    </row>
    <row r="598">
      <c r="B598" s="213"/>
      <c r="C598" s="214"/>
      <c r="E598" s="213"/>
      <c r="F598" s="214"/>
    </row>
    <row r="599">
      <c r="B599" s="213"/>
      <c r="C599" s="214"/>
      <c r="E599" s="213"/>
      <c r="F599" s="214"/>
    </row>
    <row r="600">
      <c r="B600" s="213"/>
      <c r="C600" s="214"/>
      <c r="E600" s="213"/>
      <c r="F600" s="214"/>
    </row>
    <row r="601">
      <c r="B601" s="213"/>
      <c r="C601" s="214"/>
      <c r="E601" s="213"/>
      <c r="F601" s="214"/>
    </row>
    <row r="602">
      <c r="B602" s="213"/>
      <c r="C602" s="214"/>
      <c r="E602" s="213"/>
      <c r="F602" s="214"/>
    </row>
    <row r="603">
      <c r="B603" s="213"/>
      <c r="C603" s="214"/>
      <c r="E603" s="213"/>
      <c r="F603" s="214"/>
    </row>
    <row r="604">
      <c r="B604" s="213"/>
      <c r="C604" s="214"/>
      <c r="E604" s="213"/>
      <c r="F604" s="214"/>
    </row>
    <row r="605">
      <c r="B605" s="213"/>
      <c r="C605" s="214"/>
      <c r="E605" s="213"/>
      <c r="F605" s="214"/>
    </row>
    <row r="606">
      <c r="B606" s="213"/>
      <c r="C606" s="214"/>
      <c r="E606" s="213"/>
      <c r="F606" s="214"/>
    </row>
    <row r="607">
      <c r="B607" s="213"/>
      <c r="C607" s="214"/>
      <c r="E607" s="213"/>
      <c r="F607" s="214"/>
    </row>
    <row r="608">
      <c r="B608" s="213"/>
      <c r="C608" s="214"/>
      <c r="E608" s="213"/>
      <c r="F608" s="214"/>
    </row>
    <row r="609">
      <c r="B609" s="213"/>
      <c r="C609" s="214"/>
      <c r="E609" s="213"/>
      <c r="F609" s="214"/>
    </row>
    <row r="610">
      <c r="B610" s="213"/>
      <c r="C610" s="214"/>
      <c r="E610" s="213"/>
      <c r="F610" s="214"/>
    </row>
    <row r="611">
      <c r="B611" s="213"/>
      <c r="C611" s="214"/>
      <c r="E611" s="213"/>
      <c r="F611" s="214"/>
    </row>
    <row r="612">
      <c r="B612" s="213"/>
      <c r="C612" s="214"/>
      <c r="E612" s="213"/>
      <c r="F612" s="214"/>
    </row>
    <row r="613">
      <c r="B613" s="213"/>
      <c r="C613" s="214"/>
      <c r="E613" s="213"/>
      <c r="F613" s="214"/>
    </row>
    <row r="614">
      <c r="B614" s="213"/>
      <c r="C614" s="214"/>
      <c r="E614" s="213"/>
      <c r="F614" s="214"/>
    </row>
    <row r="615">
      <c r="B615" s="213"/>
      <c r="C615" s="214"/>
      <c r="E615" s="213"/>
      <c r="F615" s="214"/>
    </row>
    <row r="616">
      <c r="B616" s="213"/>
      <c r="C616" s="214"/>
      <c r="E616" s="213"/>
      <c r="F616" s="214"/>
    </row>
    <row r="617">
      <c r="B617" s="213"/>
      <c r="C617" s="214"/>
      <c r="E617" s="213"/>
      <c r="F617" s="214"/>
    </row>
    <row r="618">
      <c r="B618" s="213"/>
      <c r="C618" s="214"/>
      <c r="E618" s="213"/>
      <c r="F618" s="214"/>
    </row>
    <row r="619">
      <c r="B619" s="213"/>
      <c r="C619" s="214"/>
      <c r="E619" s="213"/>
      <c r="F619" s="214"/>
    </row>
    <row r="620">
      <c r="B620" s="213"/>
      <c r="C620" s="214"/>
      <c r="E620" s="213"/>
      <c r="F620" s="214"/>
    </row>
    <row r="621">
      <c r="B621" s="213"/>
      <c r="C621" s="214"/>
      <c r="E621" s="213"/>
      <c r="F621" s="214"/>
    </row>
    <row r="622">
      <c r="B622" s="213"/>
      <c r="C622" s="214"/>
      <c r="E622" s="213"/>
      <c r="F622" s="214"/>
    </row>
    <row r="623">
      <c r="B623" s="213"/>
      <c r="C623" s="214"/>
      <c r="E623" s="213"/>
      <c r="F623" s="214"/>
    </row>
    <row r="624">
      <c r="B624" s="213"/>
      <c r="C624" s="214"/>
      <c r="E624" s="213"/>
      <c r="F624" s="214"/>
    </row>
    <row r="625">
      <c r="B625" s="213"/>
      <c r="C625" s="214"/>
      <c r="E625" s="213"/>
      <c r="F625" s="214"/>
    </row>
    <row r="626">
      <c r="B626" s="213"/>
      <c r="C626" s="214"/>
      <c r="E626" s="213"/>
      <c r="F626" s="214"/>
    </row>
    <row r="627">
      <c r="B627" s="213"/>
      <c r="C627" s="214"/>
      <c r="E627" s="213"/>
      <c r="F627" s="214"/>
    </row>
    <row r="628">
      <c r="B628" s="213"/>
      <c r="C628" s="214"/>
      <c r="E628" s="213"/>
      <c r="F628" s="214"/>
    </row>
    <row r="629">
      <c r="B629" s="213"/>
      <c r="C629" s="214"/>
      <c r="E629" s="213"/>
      <c r="F629" s="214"/>
    </row>
    <row r="630">
      <c r="B630" s="213"/>
      <c r="C630" s="214"/>
      <c r="E630" s="213"/>
      <c r="F630" s="214"/>
    </row>
    <row r="631">
      <c r="B631" s="213"/>
      <c r="C631" s="214"/>
      <c r="E631" s="213"/>
      <c r="F631" s="214"/>
    </row>
    <row r="632">
      <c r="B632" s="213"/>
      <c r="C632" s="214"/>
      <c r="E632" s="213"/>
      <c r="F632" s="214"/>
    </row>
    <row r="633">
      <c r="B633" s="213"/>
      <c r="C633" s="214"/>
      <c r="E633" s="213"/>
      <c r="F633" s="214"/>
    </row>
    <row r="634">
      <c r="B634" s="213"/>
      <c r="C634" s="214"/>
      <c r="E634" s="213"/>
      <c r="F634" s="214"/>
    </row>
    <row r="635">
      <c r="B635" s="213"/>
      <c r="C635" s="214"/>
      <c r="E635" s="213"/>
      <c r="F635" s="214"/>
    </row>
    <row r="636">
      <c r="B636" s="213"/>
      <c r="C636" s="214"/>
      <c r="E636" s="213"/>
      <c r="F636" s="214"/>
    </row>
    <row r="637">
      <c r="B637" s="213"/>
      <c r="C637" s="214"/>
      <c r="E637" s="213"/>
      <c r="F637" s="214"/>
    </row>
    <row r="638">
      <c r="B638" s="213"/>
      <c r="C638" s="214"/>
      <c r="E638" s="213"/>
      <c r="F638" s="214"/>
    </row>
    <row r="639">
      <c r="B639" s="213"/>
      <c r="C639" s="214"/>
      <c r="E639" s="213"/>
      <c r="F639" s="214"/>
    </row>
    <row r="640">
      <c r="B640" s="213"/>
      <c r="C640" s="214"/>
      <c r="E640" s="213"/>
      <c r="F640" s="214"/>
    </row>
    <row r="641">
      <c r="B641" s="213"/>
      <c r="C641" s="214"/>
      <c r="E641" s="213"/>
      <c r="F641" s="214"/>
    </row>
    <row r="642">
      <c r="B642" s="213"/>
      <c r="C642" s="214"/>
      <c r="E642" s="213"/>
      <c r="F642" s="214"/>
    </row>
    <row r="643">
      <c r="B643" s="213"/>
      <c r="C643" s="214"/>
      <c r="E643" s="213"/>
      <c r="F643" s="214"/>
    </row>
    <row r="644">
      <c r="B644" s="213"/>
      <c r="C644" s="214"/>
      <c r="E644" s="213"/>
      <c r="F644" s="214"/>
    </row>
    <row r="645">
      <c r="B645" s="213"/>
      <c r="C645" s="214"/>
      <c r="E645" s="213"/>
      <c r="F645" s="214"/>
    </row>
    <row r="646">
      <c r="B646" s="213"/>
      <c r="C646" s="214"/>
      <c r="E646" s="213"/>
      <c r="F646" s="214"/>
    </row>
    <row r="647">
      <c r="B647" s="213"/>
      <c r="C647" s="214"/>
      <c r="E647" s="213"/>
      <c r="F647" s="214"/>
    </row>
    <row r="648">
      <c r="B648" s="213"/>
      <c r="C648" s="214"/>
      <c r="E648" s="213"/>
      <c r="F648" s="214"/>
    </row>
    <row r="649">
      <c r="B649" s="213"/>
      <c r="C649" s="214"/>
      <c r="E649" s="213"/>
      <c r="F649" s="214"/>
    </row>
    <row r="650">
      <c r="B650" s="213"/>
      <c r="C650" s="214"/>
      <c r="E650" s="213"/>
      <c r="F650" s="214"/>
    </row>
    <row r="651">
      <c r="B651" s="213"/>
      <c r="C651" s="214"/>
      <c r="E651" s="213"/>
      <c r="F651" s="214"/>
    </row>
    <row r="652">
      <c r="B652" s="213"/>
      <c r="C652" s="214"/>
      <c r="E652" s="213"/>
      <c r="F652" s="214"/>
    </row>
    <row r="653">
      <c r="B653" s="213"/>
      <c r="C653" s="214"/>
      <c r="E653" s="213"/>
      <c r="F653" s="214"/>
    </row>
    <row r="654">
      <c r="B654" s="213"/>
      <c r="C654" s="214"/>
      <c r="E654" s="213"/>
      <c r="F654" s="214"/>
    </row>
    <row r="655">
      <c r="B655" s="213"/>
      <c r="C655" s="214"/>
      <c r="E655" s="213"/>
      <c r="F655" s="214"/>
    </row>
    <row r="656">
      <c r="B656" s="213"/>
      <c r="C656" s="214"/>
      <c r="E656" s="213"/>
      <c r="F656" s="214"/>
    </row>
    <row r="657">
      <c r="B657" s="213"/>
      <c r="C657" s="214"/>
      <c r="E657" s="213"/>
      <c r="F657" s="214"/>
    </row>
    <row r="658">
      <c r="B658" s="213"/>
      <c r="C658" s="214"/>
      <c r="E658" s="213"/>
      <c r="F658" s="214"/>
    </row>
    <row r="659">
      <c r="B659" s="213"/>
      <c r="C659" s="214"/>
      <c r="E659" s="213"/>
      <c r="F659" s="214"/>
    </row>
    <row r="660">
      <c r="B660" s="213"/>
      <c r="C660" s="214"/>
      <c r="E660" s="213"/>
      <c r="F660" s="214"/>
    </row>
    <row r="661">
      <c r="B661" s="213"/>
      <c r="C661" s="214"/>
      <c r="E661" s="213"/>
      <c r="F661" s="214"/>
    </row>
    <row r="662">
      <c r="B662" s="213"/>
      <c r="C662" s="214"/>
      <c r="E662" s="213"/>
      <c r="F662" s="214"/>
    </row>
    <row r="663">
      <c r="B663" s="213"/>
      <c r="C663" s="214"/>
      <c r="E663" s="213"/>
      <c r="F663" s="214"/>
    </row>
    <row r="664">
      <c r="B664" s="213"/>
      <c r="C664" s="214"/>
      <c r="E664" s="213"/>
      <c r="F664" s="214"/>
    </row>
    <row r="665">
      <c r="B665" s="213"/>
      <c r="C665" s="214"/>
      <c r="E665" s="213"/>
      <c r="F665" s="214"/>
    </row>
    <row r="666">
      <c r="B666" s="213"/>
      <c r="C666" s="214"/>
      <c r="E666" s="213"/>
      <c r="F666" s="214"/>
    </row>
    <row r="667">
      <c r="B667" s="213"/>
      <c r="C667" s="214"/>
      <c r="E667" s="213"/>
      <c r="F667" s="214"/>
    </row>
    <row r="668">
      <c r="B668" s="213"/>
      <c r="C668" s="214"/>
      <c r="E668" s="213"/>
      <c r="F668" s="214"/>
    </row>
    <row r="669">
      <c r="B669" s="213"/>
      <c r="C669" s="214"/>
      <c r="E669" s="213"/>
      <c r="F669" s="214"/>
    </row>
    <row r="670">
      <c r="B670" s="213"/>
      <c r="C670" s="214"/>
      <c r="E670" s="213"/>
      <c r="F670" s="214"/>
    </row>
    <row r="671">
      <c r="B671" s="213"/>
      <c r="C671" s="214"/>
      <c r="E671" s="213"/>
      <c r="F671" s="214"/>
    </row>
    <row r="672">
      <c r="B672" s="213"/>
      <c r="C672" s="214"/>
      <c r="E672" s="213"/>
      <c r="F672" s="214"/>
    </row>
    <row r="673">
      <c r="B673" s="213"/>
      <c r="C673" s="214"/>
      <c r="E673" s="213"/>
      <c r="F673" s="214"/>
    </row>
    <row r="674">
      <c r="B674" s="213"/>
      <c r="C674" s="214"/>
      <c r="E674" s="213"/>
      <c r="F674" s="214"/>
    </row>
    <row r="675">
      <c r="B675" s="213"/>
      <c r="C675" s="214"/>
      <c r="E675" s="213"/>
      <c r="F675" s="214"/>
    </row>
    <row r="676">
      <c r="B676" s="213"/>
      <c r="C676" s="214"/>
      <c r="E676" s="213"/>
      <c r="F676" s="214"/>
    </row>
    <row r="677">
      <c r="B677" s="213"/>
      <c r="C677" s="214"/>
      <c r="E677" s="213"/>
      <c r="F677" s="214"/>
    </row>
    <row r="678">
      <c r="B678" s="213"/>
      <c r="C678" s="214"/>
      <c r="E678" s="213"/>
      <c r="F678" s="214"/>
    </row>
    <row r="679">
      <c r="B679" s="213"/>
      <c r="C679" s="214"/>
      <c r="E679" s="213"/>
      <c r="F679" s="214"/>
    </row>
    <row r="680">
      <c r="B680" s="213"/>
      <c r="C680" s="214"/>
      <c r="E680" s="213"/>
      <c r="F680" s="214"/>
    </row>
    <row r="681">
      <c r="B681" s="213"/>
      <c r="C681" s="214"/>
      <c r="E681" s="213"/>
      <c r="F681" s="214"/>
    </row>
    <row r="682">
      <c r="B682" s="213"/>
      <c r="C682" s="214"/>
      <c r="E682" s="213"/>
      <c r="F682" s="214"/>
    </row>
    <row r="683">
      <c r="B683" s="213"/>
      <c r="C683" s="214"/>
      <c r="E683" s="213"/>
      <c r="F683" s="214"/>
    </row>
    <row r="684">
      <c r="B684" s="213"/>
      <c r="C684" s="214"/>
      <c r="E684" s="213"/>
      <c r="F684" s="214"/>
    </row>
    <row r="685">
      <c r="B685" s="213"/>
      <c r="C685" s="214"/>
      <c r="E685" s="213"/>
      <c r="F685" s="214"/>
    </row>
    <row r="686">
      <c r="B686" s="213"/>
      <c r="C686" s="214"/>
      <c r="E686" s="213"/>
      <c r="F686" s="214"/>
    </row>
    <row r="687">
      <c r="B687" s="213"/>
      <c r="C687" s="214"/>
      <c r="E687" s="213"/>
      <c r="F687" s="214"/>
    </row>
    <row r="688">
      <c r="B688" s="213"/>
      <c r="C688" s="214"/>
      <c r="E688" s="213"/>
      <c r="F688" s="214"/>
    </row>
    <row r="689">
      <c r="B689" s="213"/>
      <c r="C689" s="214"/>
      <c r="E689" s="213"/>
      <c r="F689" s="214"/>
    </row>
    <row r="690">
      <c r="B690" s="213"/>
      <c r="C690" s="214"/>
      <c r="E690" s="213"/>
      <c r="F690" s="214"/>
    </row>
    <row r="691">
      <c r="B691" s="213"/>
      <c r="C691" s="214"/>
      <c r="E691" s="213"/>
      <c r="F691" s="214"/>
    </row>
    <row r="692">
      <c r="B692" s="213"/>
      <c r="C692" s="214"/>
      <c r="E692" s="213"/>
      <c r="F692" s="214"/>
    </row>
    <row r="693">
      <c r="B693" s="213"/>
      <c r="C693" s="214"/>
      <c r="E693" s="213"/>
      <c r="F693" s="214"/>
    </row>
    <row r="694">
      <c r="B694" s="213"/>
      <c r="C694" s="214"/>
      <c r="E694" s="213"/>
      <c r="F694" s="214"/>
    </row>
    <row r="695">
      <c r="B695" s="213"/>
      <c r="C695" s="214"/>
      <c r="E695" s="213"/>
      <c r="F695" s="214"/>
    </row>
    <row r="696">
      <c r="B696" s="213"/>
      <c r="C696" s="214"/>
      <c r="E696" s="213"/>
      <c r="F696" s="214"/>
    </row>
    <row r="697">
      <c r="B697" s="213"/>
      <c r="C697" s="214"/>
      <c r="E697" s="213"/>
      <c r="F697" s="214"/>
    </row>
    <row r="698">
      <c r="B698" s="213"/>
      <c r="C698" s="214"/>
      <c r="E698" s="213"/>
      <c r="F698" s="214"/>
    </row>
    <row r="699">
      <c r="B699" s="213"/>
      <c r="C699" s="214"/>
      <c r="E699" s="213"/>
      <c r="F699" s="214"/>
    </row>
    <row r="700">
      <c r="B700" s="213"/>
      <c r="C700" s="214"/>
      <c r="E700" s="213"/>
      <c r="F700" s="214"/>
    </row>
    <row r="701">
      <c r="B701" s="213"/>
      <c r="C701" s="214"/>
      <c r="E701" s="213"/>
      <c r="F701" s="214"/>
    </row>
    <row r="702">
      <c r="B702" s="213"/>
      <c r="C702" s="214"/>
      <c r="E702" s="213"/>
      <c r="F702" s="214"/>
    </row>
    <row r="703">
      <c r="B703" s="213"/>
      <c r="C703" s="214"/>
      <c r="E703" s="213"/>
      <c r="F703" s="214"/>
    </row>
    <row r="704">
      <c r="B704" s="213"/>
      <c r="C704" s="214"/>
      <c r="E704" s="213"/>
      <c r="F704" s="214"/>
    </row>
    <row r="705">
      <c r="B705" s="213"/>
      <c r="C705" s="214"/>
      <c r="E705" s="213"/>
      <c r="F705" s="214"/>
    </row>
    <row r="706">
      <c r="B706" s="213"/>
      <c r="C706" s="214"/>
      <c r="E706" s="213"/>
      <c r="F706" s="214"/>
    </row>
    <row r="707">
      <c r="B707" s="213"/>
      <c r="C707" s="214"/>
      <c r="E707" s="213"/>
      <c r="F707" s="214"/>
    </row>
    <row r="708">
      <c r="B708" s="213"/>
      <c r="C708" s="214"/>
      <c r="E708" s="213"/>
      <c r="F708" s="214"/>
    </row>
    <row r="709">
      <c r="B709" s="213"/>
      <c r="C709" s="214"/>
      <c r="E709" s="213"/>
      <c r="F709" s="214"/>
    </row>
    <row r="710">
      <c r="B710" s="213"/>
      <c r="C710" s="214"/>
      <c r="E710" s="213"/>
      <c r="F710" s="214"/>
    </row>
    <row r="711">
      <c r="B711" s="213"/>
      <c r="C711" s="214"/>
      <c r="E711" s="213"/>
      <c r="F711" s="214"/>
    </row>
    <row r="712">
      <c r="B712" s="213"/>
      <c r="C712" s="214"/>
      <c r="E712" s="213"/>
      <c r="F712" s="214"/>
    </row>
    <row r="713">
      <c r="B713" s="213"/>
      <c r="C713" s="214"/>
      <c r="E713" s="213"/>
      <c r="F713" s="214"/>
    </row>
    <row r="714">
      <c r="B714" s="213"/>
      <c r="C714" s="214"/>
      <c r="E714" s="213"/>
      <c r="F714" s="214"/>
    </row>
    <row r="715">
      <c r="B715" s="213"/>
      <c r="C715" s="214"/>
      <c r="E715" s="213"/>
      <c r="F715" s="214"/>
    </row>
    <row r="716">
      <c r="B716" s="213"/>
      <c r="C716" s="214"/>
      <c r="E716" s="213"/>
      <c r="F716" s="214"/>
    </row>
    <row r="717">
      <c r="B717" s="213"/>
      <c r="C717" s="214"/>
      <c r="E717" s="213"/>
      <c r="F717" s="214"/>
    </row>
    <row r="718">
      <c r="B718" s="213"/>
      <c r="C718" s="214"/>
      <c r="E718" s="213"/>
      <c r="F718" s="214"/>
    </row>
    <row r="719">
      <c r="B719" s="213"/>
      <c r="C719" s="214"/>
      <c r="E719" s="213"/>
      <c r="F719" s="214"/>
    </row>
    <row r="720">
      <c r="B720" s="213"/>
      <c r="C720" s="214"/>
      <c r="E720" s="213"/>
      <c r="F720" s="214"/>
    </row>
    <row r="721">
      <c r="B721" s="213"/>
      <c r="C721" s="214"/>
      <c r="E721" s="213"/>
      <c r="F721" s="214"/>
    </row>
    <row r="722">
      <c r="B722" s="213"/>
      <c r="C722" s="214"/>
      <c r="E722" s="213"/>
      <c r="F722" s="214"/>
    </row>
    <row r="723">
      <c r="B723" s="213"/>
      <c r="C723" s="214"/>
      <c r="E723" s="213"/>
      <c r="F723" s="214"/>
    </row>
    <row r="724">
      <c r="B724" s="213"/>
      <c r="C724" s="214"/>
      <c r="E724" s="213"/>
      <c r="F724" s="214"/>
    </row>
    <row r="725">
      <c r="B725" s="213"/>
      <c r="C725" s="214"/>
      <c r="E725" s="213"/>
      <c r="F725" s="214"/>
    </row>
    <row r="726">
      <c r="B726" s="213"/>
      <c r="C726" s="214"/>
      <c r="E726" s="213"/>
      <c r="F726" s="214"/>
    </row>
    <row r="727">
      <c r="B727" s="213"/>
      <c r="C727" s="214"/>
      <c r="E727" s="213"/>
      <c r="F727" s="214"/>
    </row>
    <row r="728">
      <c r="B728" s="213"/>
      <c r="C728" s="214"/>
      <c r="E728" s="213"/>
      <c r="F728" s="214"/>
    </row>
    <row r="729">
      <c r="B729" s="213"/>
      <c r="C729" s="214"/>
      <c r="E729" s="213"/>
      <c r="F729" s="214"/>
    </row>
    <row r="730">
      <c r="B730" s="213"/>
      <c r="C730" s="214"/>
      <c r="E730" s="213"/>
      <c r="F730" s="214"/>
    </row>
    <row r="731">
      <c r="B731" s="213"/>
      <c r="C731" s="214"/>
      <c r="E731" s="213"/>
      <c r="F731" s="214"/>
    </row>
    <row r="732">
      <c r="B732" s="213"/>
      <c r="C732" s="214"/>
      <c r="E732" s="213"/>
      <c r="F732" s="214"/>
    </row>
    <row r="733">
      <c r="B733" s="213"/>
      <c r="C733" s="214"/>
      <c r="E733" s="213"/>
      <c r="F733" s="214"/>
    </row>
    <row r="734">
      <c r="B734" s="213"/>
      <c r="C734" s="214"/>
      <c r="E734" s="213"/>
      <c r="F734" s="214"/>
    </row>
    <row r="735">
      <c r="B735" s="213"/>
      <c r="C735" s="214"/>
      <c r="E735" s="213"/>
      <c r="F735" s="214"/>
    </row>
    <row r="736">
      <c r="B736" s="213"/>
      <c r="C736" s="214"/>
      <c r="E736" s="213"/>
      <c r="F736" s="214"/>
    </row>
    <row r="737">
      <c r="B737" s="213"/>
      <c r="C737" s="214"/>
      <c r="E737" s="213"/>
      <c r="F737" s="214"/>
    </row>
    <row r="738">
      <c r="B738" s="213"/>
      <c r="C738" s="214"/>
      <c r="E738" s="213"/>
      <c r="F738" s="214"/>
    </row>
    <row r="739">
      <c r="B739" s="213"/>
      <c r="C739" s="214"/>
      <c r="E739" s="213"/>
      <c r="F739" s="214"/>
    </row>
    <row r="740">
      <c r="B740" s="213"/>
      <c r="C740" s="214"/>
      <c r="E740" s="213"/>
      <c r="F740" s="214"/>
    </row>
    <row r="741">
      <c r="B741" s="213"/>
      <c r="C741" s="214"/>
      <c r="E741" s="213"/>
      <c r="F741" s="214"/>
    </row>
    <row r="742">
      <c r="B742" s="213"/>
      <c r="C742" s="214"/>
      <c r="E742" s="213"/>
      <c r="F742" s="214"/>
    </row>
    <row r="743">
      <c r="B743" s="213"/>
      <c r="C743" s="214"/>
      <c r="E743" s="213"/>
      <c r="F743" s="214"/>
    </row>
    <row r="744">
      <c r="B744" s="213"/>
      <c r="C744" s="214"/>
      <c r="E744" s="213"/>
      <c r="F744" s="214"/>
    </row>
    <row r="745">
      <c r="B745" s="213"/>
      <c r="C745" s="214"/>
      <c r="E745" s="213"/>
      <c r="F745" s="214"/>
    </row>
    <row r="746">
      <c r="B746" s="213"/>
      <c r="C746" s="214"/>
      <c r="E746" s="213"/>
      <c r="F746" s="214"/>
    </row>
    <row r="747">
      <c r="B747" s="213"/>
      <c r="C747" s="214"/>
      <c r="E747" s="213"/>
      <c r="F747" s="214"/>
    </row>
    <row r="748">
      <c r="B748" s="213"/>
      <c r="C748" s="214"/>
      <c r="E748" s="213"/>
      <c r="F748" s="214"/>
    </row>
    <row r="749">
      <c r="B749" s="213"/>
      <c r="C749" s="214"/>
      <c r="E749" s="213"/>
      <c r="F749" s="214"/>
    </row>
    <row r="750">
      <c r="B750" s="213"/>
      <c r="C750" s="214"/>
      <c r="E750" s="213"/>
      <c r="F750" s="214"/>
    </row>
    <row r="751">
      <c r="B751" s="213"/>
      <c r="C751" s="214"/>
      <c r="E751" s="213"/>
      <c r="F751" s="214"/>
    </row>
    <row r="752">
      <c r="B752" s="213"/>
      <c r="C752" s="214"/>
      <c r="E752" s="213"/>
      <c r="F752" s="214"/>
    </row>
    <row r="753">
      <c r="B753" s="213"/>
      <c r="C753" s="214"/>
      <c r="E753" s="213"/>
      <c r="F753" s="214"/>
    </row>
    <row r="754">
      <c r="B754" s="213"/>
      <c r="C754" s="214"/>
      <c r="E754" s="213"/>
      <c r="F754" s="214"/>
    </row>
    <row r="755">
      <c r="B755" s="213"/>
      <c r="C755" s="214"/>
      <c r="E755" s="213"/>
      <c r="F755" s="214"/>
    </row>
    <row r="756">
      <c r="B756" s="213"/>
      <c r="C756" s="214"/>
      <c r="E756" s="213"/>
      <c r="F756" s="214"/>
    </row>
    <row r="757">
      <c r="B757" s="213"/>
      <c r="C757" s="214"/>
      <c r="E757" s="213"/>
      <c r="F757" s="214"/>
    </row>
    <row r="758">
      <c r="B758" s="213"/>
      <c r="C758" s="214"/>
      <c r="E758" s="213"/>
      <c r="F758" s="214"/>
    </row>
    <row r="759">
      <c r="B759" s="213"/>
      <c r="C759" s="214"/>
      <c r="E759" s="213"/>
      <c r="F759" s="214"/>
    </row>
    <row r="760">
      <c r="B760" s="213"/>
      <c r="C760" s="214"/>
      <c r="E760" s="213"/>
      <c r="F760" s="214"/>
    </row>
    <row r="761">
      <c r="B761" s="213"/>
      <c r="C761" s="214"/>
      <c r="E761" s="213"/>
      <c r="F761" s="214"/>
    </row>
    <row r="762">
      <c r="B762" s="213"/>
      <c r="C762" s="214"/>
      <c r="E762" s="213"/>
      <c r="F762" s="214"/>
    </row>
    <row r="763">
      <c r="B763" s="213"/>
      <c r="C763" s="214"/>
      <c r="E763" s="213"/>
      <c r="F763" s="214"/>
    </row>
    <row r="764">
      <c r="B764" s="213"/>
      <c r="C764" s="214"/>
      <c r="E764" s="213"/>
      <c r="F764" s="214"/>
    </row>
    <row r="765">
      <c r="B765" s="213"/>
      <c r="C765" s="214"/>
      <c r="E765" s="213"/>
      <c r="F765" s="214"/>
    </row>
    <row r="766">
      <c r="B766" s="213"/>
      <c r="C766" s="214"/>
      <c r="E766" s="213"/>
      <c r="F766" s="214"/>
    </row>
    <row r="767">
      <c r="B767" s="213"/>
      <c r="C767" s="214"/>
      <c r="E767" s="213"/>
      <c r="F767" s="214"/>
    </row>
    <row r="768">
      <c r="B768" s="213"/>
      <c r="C768" s="214"/>
      <c r="E768" s="213"/>
      <c r="F768" s="214"/>
    </row>
    <row r="769">
      <c r="B769" s="213"/>
      <c r="C769" s="214"/>
      <c r="E769" s="213"/>
      <c r="F769" s="214"/>
    </row>
    <row r="770">
      <c r="B770" s="213"/>
      <c r="C770" s="214"/>
      <c r="E770" s="213"/>
      <c r="F770" s="214"/>
    </row>
    <row r="771">
      <c r="B771" s="213"/>
      <c r="C771" s="214"/>
      <c r="E771" s="213"/>
      <c r="F771" s="214"/>
    </row>
    <row r="772">
      <c r="B772" s="213"/>
      <c r="C772" s="214"/>
      <c r="E772" s="213"/>
      <c r="F772" s="214"/>
    </row>
    <row r="773">
      <c r="B773" s="213"/>
      <c r="C773" s="214"/>
      <c r="E773" s="213"/>
      <c r="F773" s="214"/>
    </row>
    <row r="774">
      <c r="B774" s="213"/>
      <c r="C774" s="214"/>
      <c r="E774" s="213"/>
      <c r="F774" s="214"/>
    </row>
    <row r="775">
      <c r="B775" s="213"/>
      <c r="C775" s="214"/>
      <c r="E775" s="213"/>
      <c r="F775" s="214"/>
    </row>
    <row r="776">
      <c r="B776" s="213"/>
      <c r="C776" s="214"/>
      <c r="E776" s="213"/>
      <c r="F776" s="214"/>
    </row>
    <row r="777">
      <c r="B777" s="213"/>
      <c r="C777" s="214"/>
      <c r="E777" s="213"/>
      <c r="F777" s="214"/>
    </row>
    <row r="778">
      <c r="B778" s="213"/>
      <c r="C778" s="214"/>
      <c r="E778" s="213"/>
      <c r="F778" s="214"/>
    </row>
    <row r="779">
      <c r="B779" s="213"/>
      <c r="C779" s="214"/>
      <c r="E779" s="213"/>
      <c r="F779" s="214"/>
    </row>
    <row r="780">
      <c r="B780" s="213"/>
      <c r="C780" s="214"/>
      <c r="E780" s="213"/>
      <c r="F780" s="214"/>
    </row>
    <row r="781">
      <c r="B781" s="213"/>
      <c r="C781" s="214"/>
      <c r="E781" s="213"/>
      <c r="F781" s="214"/>
    </row>
    <row r="782">
      <c r="B782" s="213"/>
      <c r="C782" s="214"/>
      <c r="E782" s="213"/>
      <c r="F782" s="214"/>
    </row>
    <row r="783">
      <c r="B783" s="213"/>
      <c r="C783" s="214"/>
      <c r="E783" s="213"/>
      <c r="F783" s="214"/>
    </row>
    <row r="784">
      <c r="B784" s="213"/>
      <c r="C784" s="214"/>
      <c r="E784" s="213"/>
      <c r="F784" s="214"/>
    </row>
    <row r="785">
      <c r="B785" s="213"/>
      <c r="C785" s="214"/>
      <c r="E785" s="213"/>
      <c r="F785" s="214"/>
    </row>
    <row r="786">
      <c r="B786" s="213"/>
      <c r="C786" s="214"/>
      <c r="E786" s="213"/>
      <c r="F786" s="214"/>
    </row>
    <row r="787">
      <c r="B787" s="213"/>
      <c r="C787" s="214"/>
      <c r="E787" s="213"/>
      <c r="F787" s="214"/>
    </row>
    <row r="788">
      <c r="B788" s="213"/>
      <c r="C788" s="214"/>
      <c r="E788" s="213"/>
      <c r="F788" s="214"/>
    </row>
    <row r="789">
      <c r="B789" s="213"/>
      <c r="C789" s="214"/>
      <c r="E789" s="213"/>
      <c r="F789" s="214"/>
    </row>
    <row r="790">
      <c r="B790" s="213"/>
      <c r="C790" s="214"/>
      <c r="E790" s="213"/>
      <c r="F790" s="214"/>
    </row>
    <row r="791">
      <c r="B791" s="213"/>
      <c r="C791" s="214"/>
      <c r="E791" s="213"/>
      <c r="F791" s="214"/>
    </row>
    <row r="792">
      <c r="B792" s="213"/>
      <c r="C792" s="214"/>
      <c r="E792" s="213"/>
      <c r="F792" s="214"/>
    </row>
    <row r="793">
      <c r="B793" s="213"/>
      <c r="C793" s="214"/>
      <c r="E793" s="213"/>
      <c r="F793" s="214"/>
    </row>
    <row r="794">
      <c r="B794" s="213"/>
      <c r="C794" s="214"/>
      <c r="E794" s="213"/>
      <c r="F794" s="214"/>
    </row>
    <row r="795">
      <c r="B795" s="213"/>
      <c r="C795" s="214"/>
      <c r="E795" s="213"/>
      <c r="F795" s="214"/>
    </row>
    <row r="796">
      <c r="B796" s="213"/>
      <c r="C796" s="214"/>
      <c r="E796" s="213"/>
      <c r="F796" s="214"/>
    </row>
    <row r="797">
      <c r="B797" s="213"/>
      <c r="C797" s="214"/>
      <c r="E797" s="213"/>
      <c r="F797" s="214"/>
    </row>
    <row r="798">
      <c r="B798" s="213"/>
      <c r="C798" s="214"/>
      <c r="E798" s="213"/>
      <c r="F798" s="214"/>
    </row>
    <row r="799">
      <c r="B799" s="213"/>
      <c r="C799" s="214"/>
      <c r="E799" s="213"/>
      <c r="F799" s="214"/>
    </row>
    <row r="800">
      <c r="B800" s="213"/>
      <c r="C800" s="214"/>
      <c r="E800" s="213"/>
      <c r="F800" s="214"/>
    </row>
    <row r="801">
      <c r="B801" s="213"/>
      <c r="C801" s="214"/>
      <c r="E801" s="213"/>
      <c r="F801" s="214"/>
    </row>
    <row r="802">
      <c r="B802" s="213"/>
      <c r="C802" s="214"/>
      <c r="E802" s="213"/>
      <c r="F802" s="214"/>
    </row>
    <row r="803">
      <c r="B803" s="213"/>
      <c r="C803" s="214"/>
      <c r="E803" s="213"/>
      <c r="F803" s="214"/>
    </row>
    <row r="804">
      <c r="B804" s="213"/>
      <c r="C804" s="214"/>
      <c r="E804" s="213"/>
      <c r="F804" s="214"/>
    </row>
    <row r="805">
      <c r="B805" s="213"/>
      <c r="C805" s="214"/>
      <c r="E805" s="213"/>
      <c r="F805" s="214"/>
    </row>
    <row r="806">
      <c r="B806" s="213"/>
      <c r="C806" s="214"/>
      <c r="E806" s="213"/>
      <c r="F806" s="214"/>
    </row>
    <row r="807">
      <c r="B807" s="213"/>
      <c r="C807" s="214"/>
      <c r="E807" s="213"/>
      <c r="F807" s="214"/>
    </row>
    <row r="808">
      <c r="B808" s="213"/>
      <c r="C808" s="214"/>
      <c r="E808" s="213"/>
      <c r="F808" s="214"/>
    </row>
    <row r="809">
      <c r="B809" s="213"/>
      <c r="C809" s="214"/>
      <c r="E809" s="213"/>
      <c r="F809" s="214"/>
    </row>
    <row r="810">
      <c r="B810" s="213"/>
      <c r="C810" s="214"/>
      <c r="E810" s="213"/>
      <c r="F810" s="214"/>
    </row>
    <row r="811">
      <c r="B811" s="213"/>
      <c r="C811" s="214"/>
      <c r="E811" s="213"/>
      <c r="F811" s="214"/>
    </row>
    <row r="812">
      <c r="B812" s="213"/>
      <c r="C812" s="214"/>
      <c r="E812" s="213"/>
      <c r="F812" s="214"/>
    </row>
    <row r="813">
      <c r="B813" s="213"/>
      <c r="C813" s="214"/>
      <c r="E813" s="213"/>
      <c r="F813" s="214"/>
    </row>
    <row r="814">
      <c r="B814" s="213"/>
      <c r="C814" s="214"/>
      <c r="E814" s="213"/>
      <c r="F814" s="214"/>
    </row>
    <row r="815">
      <c r="B815" s="213"/>
      <c r="C815" s="214"/>
      <c r="E815" s="213"/>
      <c r="F815" s="214"/>
    </row>
    <row r="816">
      <c r="B816" s="213"/>
      <c r="C816" s="214"/>
      <c r="E816" s="213"/>
      <c r="F816" s="214"/>
    </row>
    <row r="817">
      <c r="B817" s="213"/>
      <c r="C817" s="214"/>
      <c r="E817" s="213"/>
      <c r="F817" s="214"/>
    </row>
    <row r="818">
      <c r="B818" s="213"/>
      <c r="C818" s="214"/>
      <c r="E818" s="213"/>
      <c r="F818" s="214"/>
    </row>
    <row r="819">
      <c r="B819" s="213"/>
      <c r="C819" s="214"/>
      <c r="E819" s="213"/>
      <c r="F819" s="214"/>
    </row>
    <row r="820">
      <c r="B820" s="213"/>
      <c r="C820" s="214"/>
      <c r="E820" s="213"/>
      <c r="F820" s="214"/>
    </row>
    <row r="821">
      <c r="B821" s="213"/>
      <c r="C821" s="214"/>
      <c r="E821" s="213"/>
      <c r="F821" s="214"/>
    </row>
    <row r="822">
      <c r="B822" s="213"/>
      <c r="C822" s="214"/>
      <c r="E822" s="213"/>
      <c r="F822" s="214"/>
    </row>
    <row r="823">
      <c r="B823" s="213"/>
      <c r="C823" s="214"/>
      <c r="E823" s="213"/>
      <c r="F823" s="214"/>
    </row>
    <row r="824">
      <c r="B824" s="213"/>
      <c r="C824" s="214"/>
      <c r="E824" s="213"/>
      <c r="F824" s="214"/>
    </row>
    <row r="825">
      <c r="B825" s="213"/>
      <c r="C825" s="214"/>
      <c r="E825" s="213"/>
      <c r="F825" s="214"/>
    </row>
    <row r="826">
      <c r="B826" s="213"/>
      <c r="C826" s="214"/>
      <c r="E826" s="213"/>
      <c r="F826" s="214"/>
    </row>
    <row r="827">
      <c r="B827" s="213"/>
      <c r="C827" s="214"/>
      <c r="E827" s="213"/>
      <c r="F827" s="214"/>
    </row>
    <row r="828">
      <c r="B828" s="213"/>
      <c r="C828" s="214"/>
      <c r="E828" s="213"/>
      <c r="F828" s="214"/>
    </row>
    <row r="829">
      <c r="B829" s="213"/>
      <c r="C829" s="214"/>
      <c r="E829" s="213"/>
      <c r="F829" s="214"/>
    </row>
    <row r="830">
      <c r="B830" s="213"/>
      <c r="C830" s="214"/>
      <c r="E830" s="213"/>
      <c r="F830" s="214"/>
    </row>
    <row r="831">
      <c r="B831" s="213"/>
      <c r="C831" s="214"/>
      <c r="E831" s="213"/>
      <c r="F831" s="214"/>
    </row>
    <row r="832">
      <c r="B832" s="213"/>
      <c r="C832" s="214"/>
      <c r="E832" s="213"/>
      <c r="F832" s="214"/>
    </row>
    <row r="833">
      <c r="B833" s="213"/>
      <c r="C833" s="214"/>
      <c r="E833" s="213"/>
      <c r="F833" s="214"/>
    </row>
    <row r="834">
      <c r="B834" s="213"/>
      <c r="C834" s="214"/>
      <c r="E834" s="213"/>
      <c r="F834" s="214"/>
    </row>
    <row r="835">
      <c r="B835" s="213"/>
      <c r="C835" s="214"/>
      <c r="E835" s="213"/>
      <c r="F835" s="214"/>
    </row>
    <row r="836">
      <c r="B836" s="213"/>
      <c r="C836" s="214"/>
      <c r="E836" s="213"/>
      <c r="F836" s="214"/>
    </row>
    <row r="837">
      <c r="B837" s="213"/>
      <c r="C837" s="214"/>
      <c r="E837" s="213"/>
      <c r="F837" s="214"/>
    </row>
    <row r="838">
      <c r="B838" s="213"/>
      <c r="C838" s="214"/>
      <c r="E838" s="213"/>
      <c r="F838" s="214"/>
    </row>
    <row r="839">
      <c r="B839" s="213"/>
      <c r="C839" s="214"/>
      <c r="E839" s="213"/>
      <c r="F839" s="214"/>
    </row>
    <row r="840">
      <c r="B840" s="213"/>
      <c r="C840" s="214"/>
      <c r="E840" s="213"/>
      <c r="F840" s="214"/>
    </row>
    <row r="841">
      <c r="B841" s="213"/>
      <c r="C841" s="214"/>
      <c r="E841" s="213"/>
      <c r="F841" s="214"/>
    </row>
    <row r="842">
      <c r="B842" s="213"/>
      <c r="C842" s="214"/>
      <c r="E842" s="213"/>
      <c r="F842" s="214"/>
    </row>
    <row r="843">
      <c r="B843" s="213"/>
      <c r="C843" s="214"/>
      <c r="E843" s="213"/>
      <c r="F843" s="214"/>
    </row>
    <row r="844">
      <c r="B844" s="213"/>
      <c r="C844" s="214"/>
      <c r="E844" s="213"/>
      <c r="F844" s="214"/>
    </row>
    <row r="845">
      <c r="B845" s="213"/>
      <c r="C845" s="214"/>
      <c r="E845" s="213"/>
      <c r="F845" s="214"/>
    </row>
    <row r="846">
      <c r="B846" s="213"/>
      <c r="C846" s="214"/>
      <c r="E846" s="213"/>
      <c r="F846" s="214"/>
    </row>
    <row r="847">
      <c r="B847" s="213"/>
      <c r="C847" s="214"/>
      <c r="E847" s="213"/>
      <c r="F847" s="214"/>
    </row>
    <row r="848">
      <c r="B848" s="213"/>
      <c r="C848" s="214"/>
      <c r="E848" s="213"/>
      <c r="F848" s="214"/>
    </row>
    <row r="849">
      <c r="B849" s="213"/>
      <c r="C849" s="214"/>
      <c r="E849" s="213"/>
      <c r="F849" s="214"/>
    </row>
    <row r="850">
      <c r="B850" s="213"/>
      <c r="C850" s="214"/>
      <c r="E850" s="213"/>
      <c r="F850" s="214"/>
    </row>
    <row r="851">
      <c r="B851" s="213"/>
      <c r="C851" s="214"/>
      <c r="E851" s="213"/>
      <c r="F851" s="214"/>
    </row>
    <row r="852">
      <c r="B852" s="213"/>
      <c r="C852" s="214"/>
      <c r="E852" s="213"/>
      <c r="F852" s="214"/>
    </row>
    <row r="853">
      <c r="B853" s="213"/>
      <c r="C853" s="214"/>
      <c r="E853" s="213"/>
      <c r="F853" s="214"/>
    </row>
    <row r="854">
      <c r="B854" s="213"/>
      <c r="C854" s="214"/>
      <c r="E854" s="213"/>
      <c r="F854" s="214"/>
    </row>
    <row r="855">
      <c r="B855" s="213"/>
      <c r="C855" s="214"/>
      <c r="E855" s="213"/>
      <c r="F855" s="214"/>
    </row>
    <row r="856">
      <c r="B856" s="213"/>
      <c r="C856" s="214"/>
      <c r="E856" s="213"/>
      <c r="F856" s="214"/>
    </row>
    <row r="857">
      <c r="B857" s="213"/>
      <c r="C857" s="214"/>
      <c r="E857" s="213"/>
      <c r="F857" s="214"/>
    </row>
    <row r="858">
      <c r="B858" s="213"/>
      <c r="C858" s="214"/>
      <c r="E858" s="213"/>
      <c r="F858" s="214"/>
    </row>
    <row r="859">
      <c r="B859" s="213"/>
      <c r="C859" s="214"/>
      <c r="E859" s="213"/>
      <c r="F859" s="214"/>
    </row>
    <row r="860">
      <c r="B860" s="213"/>
      <c r="C860" s="214"/>
      <c r="E860" s="213"/>
      <c r="F860" s="214"/>
    </row>
    <row r="861">
      <c r="B861" s="213"/>
      <c r="C861" s="214"/>
      <c r="E861" s="213"/>
      <c r="F861" s="214"/>
    </row>
    <row r="862">
      <c r="B862" s="213"/>
      <c r="C862" s="214"/>
      <c r="E862" s="213"/>
      <c r="F862" s="214"/>
    </row>
    <row r="863">
      <c r="B863" s="213"/>
      <c r="C863" s="214"/>
      <c r="E863" s="213"/>
      <c r="F863" s="214"/>
    </row>
    <row r="864">
      <c r="B864" s="213"/>
      <c r="C864" s="214"/>
      <c r="E864" s="213"/>
      <c r="F864" s="214"/>
    </row>
    <row r="865">
      <c r="B865" s="213"/>
      <c r="C865" s="214"/>
      <c r="E865" s="213"/>
      <c r="F865" s="214"/>
    </row>
    <row r="866">
      <c r="B866" s="213"/>
      <c r="C866" s="214"/>
      <c r="E866" s="213"/>
      <c r="F866" s="214"/>
    </row>
    <row r="867">
      <c r="B867" s="213"/>
      <c r="C867" s="214"/>
      <c r="E867" s="213"/>
      <c r="F867" s="214"/>
    </row>
    <row r="868">
      <c r="B868" s="213"/>
      <c r="C868" s="214"/>
      <c r="E868" s="213"/>
      <c r="F868" s="214"/>
    </row>
    <row r="869">
      <c r="B869" s="213"/>
      <c r="C869" s="214"/>
      <c r="E869" s="213"/>
      <c r="F869" s="214"/>
    </row>
    <row r="870">
      <c r="B870" s="213"/>
      <c r="C870" s="214"/>
      <c r="E870" s="213"/>
      <c r="F870" s="214"/>
    </row>
    <row r="871">
      <c r="B871" s="213"/>
      <c r="C871" s="214"/>
      <c r="E871" s="213"/>
      <c r="F871" s="214"/>
    </row>
    <row r="872">
      <c r="B872" s="213"/>
      <c r="C872" s="214"/>
      <c r="E872" s="213"/>
      <c r="F872" s="214"/>
    </row>
    <row r="873">
      <c r="B873" s="213"/>
      <c r="C873" s="214"/>
      <c r="E873" s="213"/>
      <c r="F873" s="214"/>
    </row>
    <row r="874">
      <c r="B874" s="213"/>
      <c r="C874" s="214"/>
      <c r="E874" s="213"/>
      <c r="F874" s="214"/>
    </row>
    <row r="875">
      <c r="B875" s="213"/>
      <c r="C875" s="214"/>
      <c r="E875" s="213"/>
      <c r="F875" s="214"/>
    </row>
    <row r="876">
      <c r="B876" s="213"/>
      <c r="C876" s="214"/>
      <c r="E876" s="213"/>
      <c r="F876" s="214"/>
    </row>
    <row r="877">
      <c r="B877" s="213"/>
      <c r="C877" s="214"/>
      <c r="E877" s="213"/>
      <c r="F877" s="214"/>
    </row>
    <row r="878">
      <c r="B878" s="213"/>
      <c r="C878" s="214"/>
      <c r="E878" s="213"/>
      <c r="F878" s="214"/>
    </row>
    <row r="879">
      <c r="B879" s="213"/>
      <c r="C879" s="214"/>
      <c r="E879" s="213"/>
      <c r="F879" s="214"/>
    </row>
    <row r="880">
      <c r="B880" s="213"/>
      <c r="C880" s="214"/>
      <c r="E880" s="213"/>
      <c r="F880" s="214"/>
    </row>
    <row r="881">
      <c r="B881" s="213"/>
      <c r="C881" s="214"/>
      <c r="E881" s="213"/>
      <c r="F881" s="214"/>
    </row>
    <row r="882">
      <c r="B882" s="213"/>
      <c r="C882" s="214"/>
      <c r="E882" s="213"/>
      <c r="F882" s="214"/>
    </row>
    <row r="883">
      <c r="B883" s="213"/>
      <c r="C883" s="214"/>
      <c r="E883" s="213"/>
      <c r="F883" s="214"/>
    </row>
    <row r="884">
      <c r="B884" s="213"/>
      <c r="C884" s="214"/>
      <c r="E884" s="213"/>
      <c r="F884" s="214"/>
    </row>
    <row r="885">
      <c r="B885" s="213"/>
      <c r="C885" s="214"/>
      <c r="E885" s="213"/>
      <c r="F885" s="214"/>
    </row>
    <row r="886">
      <c r="B886" s="213"/>
      <c r="C886" s="214"/>
      <c r="E886" s="213"/>
      <c r="F886" s="214"/>
    </row>
    <row r="887">
      <c r="B887" s="213"/>
      <c r="C887" s="214"/>
      <c r="E887" s="213"/>
      <c r="F887" s="214"/>
    </row>
    <row r="888">
      <c r="B888" s="213"/>
      <c r="C888" s="214"/>
      <c r="E888" s="213"/>
      <c r="F888" s="214"/>
    </row>
    <row r="889">
      <c r="B889" s="213"/>
      <c r="C889" s="214"/>
      <c r="E889" s="213"/>
      <c r="F889" s="214"/>
    </row>
    <row r="890">
      <c r="B890" s="213"/>
      <c r="C890" s="214"/>
      <c r="E890" s="213"/>
      <c r="F890" s="214"/>
    </row>
    <row r="891">
      <c r="B891" s="213"/>
      <c r="C891" s="214"/>
      <c r="E891" s="213"/>
      <c r="F891" s="214"/>
    </row>
    <row r="892">
      <c r="B892" s="213"/>
      <c r="C892" s="214"/>
      <c r="E892" s="213"/>
      <c r="F892" s="214"/>
    </row>
    <row r="893">
      <c r="B893" s="213"/>
      <c r="C893" s="214"/>
      <c r="E893" s="213"/>
      <c r="F893" s="214"/>
    </row>
    <row r="894">
      <c r="B894" s="213"/>
      <c r="C894" s="214"/>
      <c r="E894" s="213"/>
      <c r="F894" s="214"/>
    </row>
    <row r="895">
      <c r="B895" s="213"/>
      <c r="C895" s="214"/>
      <c r="E895" s="213"/>
      <c r="F895" s="214"/>
    </row>
    <row r="896">
      <c r="B896" s="213"/>
      <c r="C896" s="214"/>
      <c r="E896" s="213"/>
      <c r="F896" s="214"/>
    </row>
    <row r="897">
      <c r="B897" s="213"/>
      <c r="C897" s="214"/>
      <c r="E897" s="213"/>
      <c r="F897" s="214"/>
    </row>
    <row r="898">
      <c r="B898" s="213"/>
      <c r="C898" s="214"/>
      <c r="E898" s="213"/>
      <c r="F898" s="214"/>
    </row>
    <row r="899">
      <c r="B899" s="213"/>
      <c r="C899" s="214"/>
      <c r="E899" s="213"/>
      <c r="F899" s="214"/>
    </row>
    <row r="900">
      <c r="B900" s="213"/>
      <c r="C900" s="214"/>
      <c r="E900" s="213"/>
      <c r="F900" s="214"/>
    </row>
    <row r="901">
      <c r="B901" s="213"/>
      <c r="C901" s="214"/>
      <c r="E901" s="213"/>
      <c r="F901" s="214"/>
    </row>
    <row r="902">
      <c r="B902" s="213"/>
      <c r="C902" s="214"/>
      <c r="E902" s="213"/>
      <c r="F902" s="214"/>
    </row>
    <row r="903">
      <c r="B903" s="213"/>
      <c r="C903" s="214"/>
      <c r="E903" s="213"/>
      <c r="F903" s="214"/>
    </row>
    <row r="904">
      <c r="B904" s="213"/>
      <c r="C904" s="214"/>
      <c r="E904" s="213"/>
      <c r="F904" s="214"/>
    </row>
    <row r="905">
      <c r="B905" s="213"/>
      <c r="C905" s="214"/>
      <c r="E905" s="213"/>
      <c r="F905" s="214"/>
    </row>
    <row r="906">
      <c r="B906" s="213"/>
      <c r="C906" s="214"/>
      <c r="E906" s="213"/>
      <c r="F906" s="214"/>
    </row>
    <row r="907">
      <c r="B907" s="213"/>
      <c r="C907" s="214"/>
      <c r="E907" s="213"/>
      <c r="F907" s="214"/>
    </row>
    <row r="908">
      <c r="B908" s="213"/>
      <c r="C908" s="214"/>
      <c r="E908" s="213"/>
      <c r="F908" s="214"/>
    </row>
    <row r="909">
      <c r="B909" s="213"/>
      <c r="C909" s="214"/>
      <c r="E909" s="213"/>
      <c r="F909" s="214"/>
    </row>
    <row r="910">
      <c r="B910" s="213"/>
      <c r="C910" s="214"/>
      <c r="E910" s="213"/>
      <c r="F910" s="214"/>
    </row>
    <row r="911">
      <c r="B911" s="213"/>
      <c r="C911" s="214"/>
      <c r="E911" s="213"/>
      <c r="F911" s="214"/>
    </row>
    <row r="912">
      <c r="B912" s="213"/>
      <c r="C912" s="214"/>
      <c r="E912" s="213"/>
      <c r="F912" s="214"/>
    </row>
    <row r="913">
      <c r="B913" s="213"/>
      <c r="C913" s="214"/>
      <c r="E913" s="213"/>
      <c r="F913" s="214"/>
    </row>
    <row r="914">
      <c r="B914" s="213"/>
      <c r="C914" s="214"/>
      <c r="E914" s="213"/>
      <c r="F914" s="214"/>
    </row>
    <row r="915">
      <c r="B915" s="213"/>
      <c r="C915" s="214"/>
      <c r="E915" s="213"/>
      <c r="F915" s="214"/>
    </row>
    <row r="916">
      <c r="B916" s="213"/>
      <c r="C916" s="214"/>
      <c r="E916" s="213"/>
      <c r="F916" s="214"/>
    </row>
    <row r="917">
      <c r="B917" s="213"/>
      <c r="C917" s="214"/>
      <c r="E917" s="213"/>
      <c r="F917" s="214"/>
    </row>
    <row r="918">
      <c r="B918" s="213"/>
      <c r="C918" s="214"/>
      <c r="E918" s="213"/>
      <c r="F918" s="214"/>
    </row>
    <row r="919">
      <c r="B919" s="213"/>
      <c r="C919" s="214"/>
      <c r="E919" s="213"/>
      <c r="F919" s="214"/>
    </row>
    <row r="920">
      <c r="B920" s="213"/>
      <c r="C920" s="214"/>
      <c r="E920" s="213"/>
      <c r="F920" s="214"/>
    </row>
    <row r="921">
      <c r="B921" s="213"/>
      <c r="C921" s="214"/>
      <c r="E921" s="213"/>
      <c r="F921" s="214"/>
    </row>
    <row r="922">
      <c r="B922" s="213"/>
      <c r="C922" s="214"/>
      <c r="E922" s="213"/>
      <c r="F922" s="214"/>
    </row>
    <row r="923">
      <c r="B923" s="213"/>
      <c r="C923" s="214"/>
      <c r="E923" s="213"/>
      <c r="F923" s="214"/>
    </row>
    <row r="924">
      <c r="B924" s="213"/>
      <c r="C924" s="214"/>
      <c r="E924" s="213"/>
      <c r="F924" s="214"/>
    </row>
    <row r="925">
      <c r="B925" s="213"/>
      <c r="C925" s="214"/>
      <c r="E925" s="213"/>
      <c r="F925" s="214"/>
    </row>
    <row r="926">
      <c r="B926" s="213"/>
      <c r="C926" s="214"/>
      <c r="E926" s="213"/>
      <c r="F926" s="214"/>
    </row>
    <row r="927">
      <c r="B927" s="213"/>
      <c r="C927" s="214"/>
      <c r="E927" s="213"/>
      <c r="F927" s="214"/>
    </row>
    <row r="928">
      <c r="B928" s="213"/>
      <c r="C928" s="214"/>
      <c r="E928" s="213"/>
      <c r="F928" s="214"/>
    </row>
    <row r="929">
      <c r="B929" s="213"/>
      <c r="C929" s="214"/>
      <c r="E929" s="213"/>
      <c r="F929" s="214"/>
    </row>
    <row r="930">
      <c r="B930" s="213"/>
      <c r="C930" s="214"/>
      <c r="E930" s="213"/>
      <c r="F930" s="214"/>
    </row>
    <row r="931">
      <c r="B931" s="213"/>
      <c r="C931" s="214"/>
      <c r="E931" s="213"/>
      <c r="F931" s="214"/>
    </row>
    <row r="932">
      <c r="B932" s="213"/>
      <c r="C932" s="214"/>
      <c r="E932" s="213"/>
      <c r="F932" s="214"/>
    </row>
    <row r="933">
      <c r="B933" s="213"/>
      <c r="C933" s="214"/>
      <c r="E933" s="213"/>
      <c r="F933" s="214"/>
    </row>
    <row r="934">
      <c r="B934" s="213"/>
      <c r="C934" s="214"/>
      <c r="E934" s="213"/>
      <c r="F934" s="214"/>
    </row>
    <row r="935">
      <c r="B935" s="213"/>
      <c r="C935" s="214"/>
      <c r="E935" s="213"/>
      <c r="F935" s="214"/>
    </row>
    <row r="936">
      <c r="B936" s="213"/>
      <c r="C936" s="214"/>
      <c r="E936" s="213"/>
      <c r="F936" s="214"/>
    </row>
    <row r="937">
      <c r="B937" s="213"/>
      <c r="C937" s="214"/>
      <c r="E937" s="213"/>
      <c r="F937" s="214"/>
    </row>
    <row r="938">
      <c r="B938" s="213"/>
      <c r="C938" s="214"/>
      <c r="E938" s="213"/>
      <c r="F938" s="214"/>
    </row>
    <row r="939">
      <c r="B939" s="213"/>
      <c r="C939" s="214"/>
      <c r="E939" s="213"/>
      <c r="F939" s="214"/>
    </row>
    <row r="940">
      <c r="B940" s="213"/>
      <c r="C940" s="214"/>
      <c r="E940" s="213"/>
      <c r="F940" s="214"/>
    </row>
    <row r="941">
      <c r="B941" s="213"/>
      <c r="C941" s="214"/>
      <c r="E941" s="213"/>
      <c r="F941" s="214"/>
    </row>
    <row r="942">
      <c r="B942" s="213"/>
      <c r="C942" s="214"/>
      <c r="E942" s="213"/>
      <c r="F942" s="214"/>
    </row>
    <row r="943">
      <c r="B943" s="213"/>
      <c r="C943" s="214"/>
      <c r="E943" s="213"/>
      <c r="F943" s="214"/>
    </row>
    <row r="944">
      <c r="B944" s="213"/>
      <c r="C944" s="214"/>
      <c r="E944" s="213"/>
      <c r="F944" s="214"/>
    </row>
    <row r="945">
      <c r="B945" s="213"/>
      <c r="C945" s="214"/>
      <c r="E945" s="213"/>
      <c r="F945" s="214"/>
    </row>
    <row r="946">
      <c r="B946" s="213"/>
      <c r="C946" s="214"/>
      <c r="E946" s="213"/>
      <c r="F946" s="214"/>
    </row>
    <row r="947">
      <c r="B947" s="213"/>
      <c r="C947" s="214"/>
      <c r="E947" s="213"/>
      <c r="F947" s="214"/>
    </row>
    <row r="948">
      <c r="B948" s="213"/>
      <c r="C948" s="214"/>
      <c r="E948" s="213"/>
      <c r="F948" s="214"/>
    </row>
    <row r="949">
      <c r="B949" s="213"/>
      <c r="C949" s="214"/>
      <c r="E949" s="213"/>
      <c r="F949" s="214"/>
    </row>
    <row r="950">
      <c r="B950" s="213"/>
      <c r="C950" s="214"/>
      <c r="E950" s="213"/>
      <c r="F950" s="214"/>
    </row>
    <row r="951">
      <c r="B951" s="213"/>
      <c r="C951" s="214"/>
      <c r="E951" s="213"/>
      <c r="F951" s="214"/>
    </row>
    <row r="952">
      <c r="B952" s="213"/>
      <c r="C952" s="214"/>
      <c r="E952" s="213"/>
      <c r="F952" s="214"/>
    </row>
    <row r="953">
      <c r="B953" s="213"/>
      <c r="C953" s="214"/>
      <c r="E953" s="213"/>
      <c r="F953" s="214"/>
    </row>
    <row r="954">
      <c r="B954" s="213"/>
      <c r="C954" s="214"/>
      <c r="E954" s="213"/>
      <c r="F954" s="214"/>
    </row>
    <row r="955">
      <c r="B955" s="213"/>
      <c r="C955" s="214"/>
      <c r="E955" s="213"/>
      <c r="F955" s="214"/>
    </row>
    <row r="956">
      <c r="B956" s="213"/>
      <c r="C956" s="214"/>
      <c r="E956" s="213"/>
      <c r="F956" s="214"/>
    </row>
    <row r="957">
      <c r="B957" s="213"/>
      <c r="C957" s="214"/>
      <c r="E957" s="213"/>
      <c r="F957" s="214"/>
    </row>
    <row r="958">
      <c r="B958" s="213"/>
      <c r="C958" s="214"/>
      <c r="E958" s="213"/>
      <c r="F958" s="214"/>
    </row>
    <row r="959">
      <c r="B959" s="213"/>
      <c r="C959" s="214"/>
      <c r="E959" s="213"/>
      <c r="F959" s="214"/>
    </row>
    <row r="960">
      <c r="B960" s="213"/>
      <c r="C960" s="214"/>
      <c r="E960" s="213"/>
      <c r="F960" s="214"/>
    </row>
    <row r="961">
      <c r="B961" s="213"/>
      <c r="C961" s="214"/>
      <c r="E961" s="213"/>
      <c r="F961" s="214"/>
    </row>
    <row r="962">
      <c r="B962" s="213"/>
      <c r="C962" s="214"/>
      <c r="E962" s="213"/>
      <c r="F962" s="214"/>
    </row>
    <row r="963">
      <c r="B963" s="213"/>
      <c r="C963" s="214"/>
      <c r="E963" s="213"/>
      <c r="F963" s="214"/>
    </row>
    <row r="964">
      <c r="B964" s="213"/>
      <c r="C964" s="214"/>
      <c r="E964" s="213"/>
      <c r="F964" s="214"/>
    </row>
    <row r="965">
      <c r="B965" s="213"/>
      <c r="C965" s="214"/>
      <c r="E965" s="213"/>
      <c r="F965" s="214"/>
    </row>
    <row r="966">
      <c r="B966" s="213"/>
      <c r="C966" s="214"/>
      <c r="E966" s="213"/>
      <c r="F966" s="214"/>
    </row>
    <row r="967">
      <c r="B967" s="213"/>
      <c r="C967" s="214"/>
      <c r="E967" s="213"/>
      <c r="F967" s="214"/>
    </row>
    <row r="968">
      <c r="B968" s="213"/>
      <c r="C968" s="214"/>
      <c r="E968" s="213"/>
      <c r="F968" s="214"/>
    </row>
    <row r="969">
      <c r="B969" s="213"/>
      <c r="C969" s="214"/>
      <c r="E969" s="213"/>
      <c r="F969" s="214"/>
    </row>
    <row r="970">
      <c r="B970" s="213"/>
      <c r="C970" s="214"/>
      <c r="E970" s="213"/>
      <c r="F970" s="214"/>
    </row>
    <row r="971">
      <c r="B971" s="213"/>
      <c r="C971" s="214"/>
      <c r="E971" s="213"/>
      <c r="F971" s="214"/>
    </row>
    <row r="972">
      <c r="B972" s="213"/>
      <c r="C972" s="214"/>
      <c r="E972" s="213"/>
      <c r="F972" s="214"/>
    </row>
    <row r="973">
      <c r="B973" s="213"/>
      <c r="C973" s="214"/>
      <c r="E973" s="213"/>
      <c r="F973" s="214"/>
    </row>
    <row r="974">
      <c r="B974" s="213"/>
      <c r="C974" s="214"/>
      <c r="E974" s="213"/>
      <c r="F974" s="214"/>
    </row>
    <row r="975">
      <c r="B975" s="213"/>
      <c r="C975" s="214"/>
      <c r="E975" s="213"/>
      <c r="F975" s="214"/>
    </row>
    <row r="976">
      <c r="B976" s="213"/>
      <c r="C976" s="214"/>
      <c r="E976" s="213"/>
      <c r="F976" s="214"/>
    </row>
    <row r="977">
      <c r="B977" s="213"/>
      <c r="C977" s="214"/>
      <c r="E977" s="213"/>
      <c r="F977" s="214"/>
    </row>
    <row r="978">
      <c r="B978" s="213"/>
      <c r="C978" s="214"/>
      <c r="E978" s="213"/>
      <c r="F978" s="214"/>
    </row>
    <row r="979">
      <c r="B979" s="213"/>
      <c r="C979" s="214"/>
      <c r="E979" s="213"/>
      <c r="F979" s="214"/>
    </row>
    <row r="980">
      <c r="B980" s="213"/>
      <c r="C980" s="214"/>
      <c r="E980" s="213"/>
      <c r="F980" s="214"/>
    </row>
    <row r="981">
      <c r="B981" s="213"/>
      <c r="C981" s="214"/>
      <c r="E981" s="213"/>
      <c r="F981" s="214"/>
    </row>
    <row r="982">
      <c r="B982" s="213"/>
      <c r="C982" s="214"/>
      <c r="E982" s="213"/>
      <c r="F982" s="214"/>
    </row>
    <row r="983">
      <c r="B983" s="213"/>
      <c r="C983" s="214"/>
      <c r="E983" s="213"/>
      <c r="F983" s="214"/>
    </row>
    <row r="984">
      <c r="B984" s="213"/>
      <c r="C984" s="214"/>
      <c r="E984" s="213"/>
      <c r="F984" s="214"/>
    </row>
    <row r="985">
      <c r="B985" s="213"/>
      <c r="C985" s="214"/>
      <c r="E985" s="213"/>
      <c r="F985" s="214"/>
    </row>
    <row r="986">
      <c r="B986" s="213"/>
      <c r="C986" s="214"/>
      <c r="E986" s="213"/>
      <c r="F986" s="214"/>
    </row>
    <row r="987">
      <c r="B987" s="213"/>
      <c r="C987" s="214"/>
      <c r="E987" s="213"/>
      <c r="F987" s="214"/>
    </row>
    <row r="988">
      <c r="B988" s="213"/>
      <c r="C988" s="214"/>
      <c r="E988" s="213"/>
      <c r="F988" s="214"/>
    </row>
    <row r="989">
      <c r="B989" s="213"/>
      <c r="C989" s="214"/>
      <c r="E989" s="213"/>
      <c r="F989" s="214"/>
    </row>
    <row r="990">
      <c r="B990" s="213"/>
      <c r="C990" s="214"/>
      <c r="E990" s="213"/>
      <c r="F990" s="214"/>
    </row>
    <row r="991">
      <c r="B991" s="213"/>
      <c r="C991" s="214"/>
      <c r="E991" s="213"/>
      <c r="F991" s="214"/>
    </row>
    <row r="992">
      <c r="B992" s="213"/>
      <c r="C992" s="214"/>
      <c r="E992" s="213"/>
      <c r="F992" s="214"/>
    </row>
    <row r="993">
      <c r="B993" s="213"/>
      <c r="C993" s="214"/>
      <c r="E993" s="213"/>
      <c r="F993" s="214"/>
    </row>
    <row r="994">
      <c r="B994" s="213"/>
      <c r="C994" s="214"/>
      <c r="E994" s="213"/>
      <c r="F994" s="214"/>
    </row>
    <row r="995">
      <c r="B995" s="213"/>
      <c r="C995" s="214"/>
      <c r="E995" s="213"/>
      <c r="F995" s="214"/>
    </row>
    <row r="996">
      <c r="B996" s="213"/>
      <c r="C996" s="214"/>
      <c r="E996" s="213"/>
      <c r="F996" s="214"/>
    </row>
    <row r="997">
      <c r="B997" s="213"/>
      <c r="C997" s="214"/>
      <c r="E997" s="213"/>
      <c r="F997" s="214"/>
    </row>
    <row r="998">
      <c r="B998" s="213"/>
      <c r="C998" s="214"/>
      <c r="E998" s="213"/>
      <c r="F998" s="214"/>
    </row>
    <row r="999">
      <c r="B999" s="213"/>
      <c r="C999" s="214"/>
      <c r="E999" s="213"/>
      <c r="F999" s="214"/>
    </row>
    <row r="1000">
      <c r="B1000" s="213"/>
      <c r="C1000" s="214"/>
      <c r="E1000" s="213"/>
      <c r="F1000" s="214"/>
    </row>
    <row r="1001">
      <c r="B1001" s="213"/>
      <c r="C1001" s="214"/>
      <c r="E1001" s="213"/>
      <c r="F1001" s="214"/>
    </row>
    <row r="1002">
      <c r="B1002" s="213"/>
      <c r="C1002" s="214"/>
      <c r="E1002" s="213"/>
      <c r="F1002" s="214"/>
    </row>
    <row r="1003">
      <c r="B1003" s="213"/>
      <c r="C1003" s="214"/>
      <c r="E1003" s="213"/>
      <c r="F1003" s="214"/>
    </row>
    <row r="1004">
      <c r="B1004" s="213"/>
      <c r="C1004" s="214"/>
      <c r="E1004" s="213"/>
      <c r="F1004" s="214"/>
    </row>
    <row r="1005">
      <c r="B1005" s="213"/>
      <c r="C1005" s="214"/>
      <c r="E1005" s="213"/>
      <c r="F1005" s="214"/>
    </row>
    <row r="1006">
      <c r="B1006" s="213"/>
      <c r="C1006" s="214"/>
      <c r="E1006" s="213"/>
      <c r="F1006" s="214"/>
    </row>
    <row r="1007">
      <c r="B1007" s="213"/>
      <c r="C1007" s="214"/>
      <c r="E1007" s="213"/>
      <c r="F1007" s="214"/>
    </row>
    <row r="1008">
      <c r="B1008" s="213"/>
      <c r="C1008" s="214"/>
      <c r="E1008" s="213"/>
      <c r="F1008" s="214"/>
    </row>
    <row r="1009">
      <c r="B1009" s="213"/>
      <c r="C1009" s="214"/>
      <c r="E1009" s="213"/>
      <c r="F1009" s="214"/>
    </row>
    <row r="1010">
      <c r="B1010" s="213"/>
      <c r="C1010" s="214"/>
      <c r="E1010" s="213"/>
      <c r="F1010" s="214"/>
    </row>
    <row r="1011">
      <c r="B1011" s="213"/>
      <c r="C1011" s="214"/>
      <c r="E1011" s="213"/>
      <c r="F1011" s="214"/>
    </row>
    <row r="1012">
      <c r="B1012" s="213"/>
      <c r="C1012" s="214"/>
      <c r="E1012" s="213"/>
      <c r="F1012" s="214"/>
    </row>
    <row r="1013">
      <c r="B1013" s="213"/>
      <c r="C1013" s="214"/>
      <c r="E1013" s="213"/>
      <c r="F1013" s="214"/>
    </row>
    <row r="1014">
      <c r="B1014" s="213"/>
      <c r="C1014" s="214"/>
      <c r="E1014" s="213"/>
      <c r="F1014" s="214"/>
    </row>
    <row r="1015">
      <c r="B1015" s="213"/>
      <c r="C1015" s="214"/>
      <c r="E1015" s="213"/>
      <c r="F1015" s="214"/>
    </row>
    <row r="1016">
      <c r="B1016" s="213"/>
      <c r="C1016" s="214"/>
      <c r="E1016" s="213"/>
      <c r="F1016" s="214"/>
    </row>
    <row r="1017">
      <c r="B1017" s="213"/>
      <c r="C1017" s="214"/>
      <c r="E1017" s="213"/>
      <c r="F1017" s="214"/>
    </row>
    <row r="1018">
      <c r="B1018" s="213"/>
      <c r="C1018" s="214"/>
      <c r="E1018" s="213"/>
      <c r="F1018" s="214"/>
    </row>
    <row r="1019">
      <c r="B1019" s="213"/>
      <c r="C1019" s="214"/>
      <c r="E1019" s="213"/>
      <c r="F1019" s="214"/>
    </row>
    <row r="1020">
      <c r="B1020" s="213"/>
      <c r="C1020" s="214"/>
      <c r="E1020" s="213"/>
      <c r="F1020" s="214"/>
    </row>
    <row r="1021">
      <c r="B1021" s="213"/>
      <c r="C1021" s="214"/>
      <c r="E1021" s="213"/>
      <c r="F1021" s="214"/>
    </row>
    <row r="1022">
      <c r="B1022" s="213"/>
      <c r="C1022" s="214"/>
      <c r="E1022" s="213"/>
      <c r="F1022" s="214"/>
    </row>
    <row r="1023">
      <c r="B1023" s="213"/>
      <c r="C1023" s="214"/>
      <c r="E1023" s="213"/>
      <c r="F1023" s="214"/>
    </row>
    <row r="1024">
      <c r="B1024" s="213"/>
      <c r="C1024" s="214"/>
      <c r="E1024" s="213"/>
      <c r="F1024" s="214"/>
    </row>
    <row r="1025">
      <c r="B1025" s="213"/>
      <c r="C1025" s="214"/>
      <c r="E1025" s="213"/>
      <c r="F1025" s="214"/>
    </row>
    <row r="1026">
      <c r="B1026" s="213"/>
      <c r="C1026" s="214"/>
      <c r="E1026" s="213"/>
      <c r="F1026" s="214"/>
    </row>
    <row r="1027">
      <c r="B1027" s="213"/>
      <c r="C1027" s="214"/>
      <c r="E1027" s="213"/>
      <c r="F1027" s="214"/>
    </row>
    <row r="1028">
      <c r="B1028" s="213"/>
      <c r="C1028" s="214"/>
      <c r="E1028" s="213"/>
      <c r="F1028" s="214"/>
    </row>
    <row r="1029">
      <c r="B1029" s="213"/>
      <c r="C1029" s="214"/>
      <c r="E1029" s="213"/>
      <c r="F1029" s="214"/>
    </row>
    <row r="1030">
      <c r="B1030" s="213"/>
      <c r="C1030" s="214"/>
      <c r="E1030" s="213"/>
      <c r="F1030" s="214"/>
    </row>
    <row r="1031">
      <c r="B1031" s="213"/>
      <c r="C1031" s="214"/>
      <c r="E1031" s="213"/>
      <c r="F1031" s="214"/>
    </row>
    <row r="1032">
      <c r="B1032" s="213"/>
      <c r="C1032" s="214"/>
      <c r="E1032" s="213"/>
      <c r="F1032" s="214"/>
    </row>
    <row r="1033">
      <c r="B1033" s="213"/>
      <c r="C1033" s="214"/>
      <c r="E1033" s="213"/>
      <c r="F1033" s="214"/>
    </row>
    <row r="1034">
      <c r="B1034" s="213"/>
      <c r="C1034" s="214"/>
      <c r="E1034" s="213"/>
      <c r="F1034" s="214"/>
    </row>
    <row r="1035">
      <c r="B1035" s="213"/>
      <c r="C1035" s="214"/>
      <c r="E1035" s="213"/>
      <c r="F1035" s="214"/>
    </row>
    <row r="1036">
      <c r="B1036" s="213"/>
      <c r="C1036" s="214"/>
      <c r="E1036" s="213"/>
      <c r="F1036" s="214"/>
    </row>
    <row r="1037">
      <c r="B1037" s="213"/>
      <c r="C1037" s="214"/>
      <c r="E1037" s="213"/>
      <c r="F1037" s="214"/>
    </row>
    <row r="1038">
      <c r="B1038" s="213"/>
      <c r="C1038" s="214"/>
      <c r="E1038" s="213"/>
      <c r="F1038" s="214"/>
    </row>
    <row r="1039">
      <c r="B1039" s="213"/>
      <c r="C1039" s="214"/>
      <c r="E1039" s="213"/>
      <c r="F1039" s="214"/>
    </row>
    <row r="1040">
      <c r="B1040" s="213"/>
      <c r="C1040" s="214"/>
      <c r="E1040" s="213"/>
      <c r="F1040" s="214"/>
    </row>
    <row r="1041">
      <c r="B1041" s="213"/>
      <c r="C1041" s="214"/>
      <c r="E1041" s="213"/>
      <c r="F1041" s="214"/>
    </row>
    <row r="1042">
      <c r="B1042" s="213"/>
      <c r="C1042" s="214"/>
      <c r="E1042" s="213"/>
      <c r="F1042" s="214"/>
    </row>
    <row r="1043">
      <c r="B1043" s="213"/>
      <c r="C1043" s="214"/>
      <c r="E1043" s="213"/>
      <c r="F1043" s="214"/>
    </row>
    <row r="1044">
      <c r="B1044" s="213"/>
      <c r="C1044" s="214"/>
      <c r="E1044" s="213"/>
      <c r="F1044" s="214"/>
    </row>
    <row r="1045">
      <c r="B1045" s="213"/>
      <c r="C1045" s="214"/>
      <c r="E1045" s="213"/>
      <c r="F1045" s="214"/>
    </row>
    <row r="1046">
      <c r="B1046" s="213"/>
      <c r="C1046" s="214"/>
      <c r="E1046" s="213"/>
      <c r="F1046" s="214"/>
    </row>
    <row r="1047">
      <c r="B1047" s="213"/>
      <c r="C1047" s="214"/>
      <c r="E1047" s="213"/>
      <c r="F1047" s="214"/>
    </row>
    <row r="1048">
      <c r="B1048" s="213"/>
      <c r="C1048" s="214"/>
      <c r="E1048" s="213"/>
      <c r="F1048" s="214"/>
    </row>
    <row r="1049">
      <c r="B1049" s="213"/>
      <c r="C1049" s="214"/>
      <c r="E1049" s="213"/>
      <c r="F1049" s="214"/>
    </row>
    <row r="1050">
      <c r="B1050" s="213"/>
      <c r="C1050" s="214"/>
      <c r="E1050" s="213"/>
      <c r="F1050" s="214"/>
    </row>
    <row r="1051">
      <c r="B1051" s="213"/>
      <c r="C1051" s="214"/>
      <c r="E1051" s="213"/>
      <c r="F1051" s="214"/>
    </row>
    <row r="1052">
      <c r="B1052" s="213"/>
      <c r="C1052" s="214"/>
      <c r="E1052" s="213"/>
      <c r="F1052" s="214"/>
    </row>
    <row r="1053">
      <c r="B1053" s="213"/>
      <c r="C1053" s="214"/>
      <c r="E1053" s="213"/>
      <c r="F1053" s="214"/>
    </row>
    <row r="1054">
      <c r="B1054" s="213"/>
      <c r="C1054" s="214"/>
      <c r="E1054" s="213"/>
      <c r="F1054" s="214"/>
    </row>
    <row r="1055">
      <c r="B1055" s="213"/>
      <c r="C1055" s="214"/>
      <c r="E1055" s="213"/>
      <c r="F1055" s="214"/>
    </row>
    <row r="1056">
      <c r="B1056" s="213"/>
      <c r="C1056" s="214"/>
      <c r="E1056" s="213"/>
      <c r="F1056" s="214"/>
    </row>
    <row r="1057">
      <c r="B1057" s="213"/>
      <c r="C1057" s="214"/>
      <c r="E1057" s="213"/>
      <c r="F1057" s="214"/>
    </row>
    <row r="1058">
      <c r="B1058" s="213"/>
      <c r="C1058" s="214"/>
      <c r="E1058" s="213"/>
      <c r="F1058" s="214"/>
    </row>
    <row r="1059">
      <c r="B1059" s="213"/>
      <c r="C1059" s="214"/>
      <c r="E1059" s="213"/>
      <c r="F1059" s="214"/>
    </row>
    <row r="1060">
      <c r="B1060" s="213"/>
      <c r="C1060" s="214"/>
      <c r="E1060" s="213"/>
      <c r="F1060" s="214"/>
    </row>
    <row r="1061">
      <c r="B1061" s="213"/>
      <c r="C1061" s="214"/>
      <c r="E1061" s="213"/>
      <c r="F1061" s="214"/>
    </row>
    <row r="1062">
      <c r="B1062" s="213"/>
      <c r="C1062" s="214"/>
      <c r="E1062" s="213"/>
      <c r="F1062" s="214"/>
    </row>
    <row r="1063">
      <c r="B1063" s="213"/>
      <c r="C1063" s="214"/>
      <c r="E1063" s="213"/>
      <c r="F1063" s="214"/>
    </row>
    <row r="1064">
      <c r="B1064" s="213"/>
      <c r="C1064" s="214"/>
      <c r="E1064" s="213"/>
      <c r="F1064" s="214"/>
    </row>
    <row r="1065">
      <c r="B1065" s="213"/>
      <c r="C1065" s="214"/>
      <c r="E1065" s="213"/>
      <c r="F1065" s="214"/>
    </row>
    <row r="1066">
      <c r="B1066" s="213"/>
      <c r="C1066" s="214"/>
      <c r="E1066" s="213"/>
      <c r="F1066" s="214"/>
    </row>
    <row r="1067">
      <c r="B1067" s="213"/>
      <c r="C1067" s="214"/>
      <c r="E1067" s="213"/>
      <c r="F1067" s="214"/>
    </row>
    <row r="1068">
      <c r="B1068" s="213"/>
      <c r="C1068" s="214"/>
      <c r="E1068" s="213"/>
      <c r="F1068" s="214"/>
    </row>
    <row r="1069">
      <c r="B1069" s="213"/>
      <c r="C1069" s="214"/>
      <c r="E1069" s="213"/>
      <c r="F1069" s="214"/>
    </row>
    <row r="1070">
      <c r="B1070" s="213"/>
      <c r="C1070" s="214"/>
      <c r="E1070" s="213"/>
      <c r="F1070" s="214"/>
    </row>
    <row r="1071">
      <c r="B1071" s="213"/>
      <c r="C1071" s="214"/>
      <c r="E1071" s="213"/>
      <c r="F1071" s="214"/>
    </row>
    <row r="1072">
      <c r="B1072" s="213"/>
      <c r="C1072" s="214"/>
      <c r="E1072" s="213"/>
      <c r="F1072" s="214"/>
    </row>
    <row r="1073">
      <c r="B1073" s="213"/>
      <c r="C1073" s="214"/>
      <c r="E1073" s="213"/>
      <c r="F1073" s="214"/>
    </row>
    <row r="1074">
      <c r="B1074" s="213"/>
      <c r="C1074" s="214"/>
      <c r="E1074" s="213"/>
      <c r="F1074" s="214"/>
    </row>
    <row r="1075">
      <c r="B1075" s="213"/>
      <c r="C1075" s="214"/>
      <c r="E1075" s="213"/>
      <c r="F1075" s="214"/>
    </row>
    <row r="1076">
      <c r="B1076" s="213"/>
      <c r="C1076" s="214"/>
      <c r="E1076" s="213"/>
      <c r="F1076" s="214"/>
    </row>
    <row r="1077">
      <c r="B1077" s="213"/>
      <c r="C1077" s="214"/>
      <c r="E1077" s="213"/>
      <c r="F1077" s="214"/>
    </row>
    <row r="1078">
      <c r="B1078" s="213"/>
      <c r="C1078" s="214"/>
      <c r="E1078" s="213"/>
      <c r="F1078" s="214"/>
    </row>
    <row r="1079">
      <c r="B1079" s="213"/>
      <c r="C1079" s="214"/>
      <c r="E1079" s="213"/>
      <c r="F1079" s="214"/>
    </row>
    <row r="1080">
      <c r="B1080" s="213"/>
      <c r="C1080" s="214"/>
      <c r="E1080" s="213"/>
      <c r="F1080" s="214"/>
    </row>
    <row r="1081">
      <c r="B1081" s="213"/>
      <c r="C1081" s="214"/>
      <c r="E1081" s="213"/>
      <c r="F1081" s="214"/>
    </row>
    <row r="1082">
      <c r="B1082" s="213"/>
      <c r="C1082" s="214"/>
      <c r="E1082" s="213"/>
      <c r="F1082" s="214"/>
    </row>
    <row r="1083">
      <c r="B1083" s="213"/>
      <c r="C1083" s="214"/>
      <c r="E1083" s="213"/>
      <c r="F1083" s="214"/>
    </row>
    <row r="1084">
      <c r="B1084" s="213"/>
      <c r="C1084" s="214"/>
      <c r="E1084" s="213"/>
      <c r="F1084" s="214"/>
    </row>
    <row r="1085">
      <c r="B1085" s="213"/>
      <c r="C1085" s="214"/>
      <c r="E1085" s="213"/>
      <c r="F1085" s="214"/>
    </row>
    <row r="1086">
      <c r="B1086" s="213"/>
      <c r="C1086" s="214"/>
      <c r="E1086" s="213"/>
      <c r="F1086" s="214"/>
    </row>
    <row r="1087">
      <c r="B1087" s="213"/>
      <c r="C1087" s="214"/>
      <c r="E1087" s="213"/>
      <c r="F1087" s="214"/>
    </row>
    <row r="1088">
      <c r="B1088" s="213"/>
      <c r="C1088" s="214"/>
      <c r="E1088" s="213"/>
      <c r="F1088" s="214"/>
    </row>
    <row r="1089">
      <c r="B1089" s="213"/>
      <c r="C1089" s="214"/>
      <c r="E1089" s="213"/>
      <c r="F1089" s="214"/>
    </row>
    <row r="1090">
      <c r="B1090" s="213"/>
      <c r="C1090" s="214"/>
      <c r="E1090" s="213"/>
      <c r="F1090" s="214"/>
    </row>
    <row r="1091">
      <c r="B1091" s="213"/>
      <c r="C1091" s="214"/>
      <c r="E1091" s="213"/>
      <c r="F1091" s="214"/>
    </row>
    <row r="1092">
      <c r="B1092" s="213"/>
      <c r="C1092" s="214"/>
      <c r="E1092" s="213"/>
      <c r="F1092" s="214"/>
    </row>
    <row r="1093">
      <c r="B1093" s="213"/>
      <c r="C1093" s="214"/>
      <c r="E1093" s="213"/>
      <c r="F1093" s="214"/>
    </row>
    <row r="1094">
      <c r="B1094" s="213"/>
      <c r="C1094" s="214"/>
      <c r="E1094" s="213"/>
      <c r="F1094" s="214"/>
    </row>
    <row r="1095">
      <c r="B1095" s="213"/>
      <c r="C1095" s="214"/>
      <c r="E1095" s="213"/>
      <c r="F1095" s="214"/>
    </row>
    <row r="1096">
      <c r="B1096" s="213"/>
      <c r="C1096" s="214"/>
      <c r="E1096" s="213"/>
      <c r="F1096" s="214"/>
    </row>
    <row r="1097">
      <c r="B1097" s="213"/>
      <c r="C1097" s="214"/>
      <c r="E1097" s="213"/>
      <c r="F1097" s="214"/>
    </row>
    <row r="1098">
      <c r="B1098" s="213"/>
      <c r="C1098" s="214"/>
      <c r="E1098" s="213"/>
      <c r="F1098" s="214"/>
    </row>
    <row r="1099">
      <c r="B1099" s="213"/>
      <c r="C1099" s="214"/>
      <c r="E1099" s="213"/>
      <c r="F1099" s="214"/>
    </row>
    <row r="1100">
      <c r="B1100" s="213"/>
      <c r="C1100" s="214"/>
      <c r="E1100" s="213"/>
      <c r="F1100" s="214"/>
    </row>
    <row r="1101">
      <c r="B1101" s="213"/>
      <c r="C1101" s="214"/>
      <c r="E1101" s="213"/>
      <c r="F1101" s="214"/>
    </row>
    <row r="1102">
      <c r="B1102" s="213"/>
      <c r="C1102" s="214"/>
      <c r="E1102" s="213"/>
      <c r="F1102" s="214"/>
    </row>
    <row r="1103">
      <c r="B1103" s="213"/>
      <c r="C1103" s="214"/>
      <c r="E1103" s="213"/>
      <c r="F1103" s="214"/>
    </row>
    <row r="1104">
      <c r="B1104" s="213"/>
      <c r="C1104" s="214"/>
      <c r="E1104" s="213"/>
      <c r="F1104" s="214"/>
    </row>
    <row r="1105">
      <c r="B1105" s="213"/>
      <c r="C1105" s="214"/>
      <c r="E1105" s="213"/>
      <c r="F1105" s="214"/>
    </row>
    <row r="1106">
      <c r="B1106" s="213"/>
      <c r="C1106" s="214"/>
      <c r="E1106" s="213"/>
      <c r="F1106" s="214"/>
    </row>
    <row r="1107">
      <c r="B1107" s="213"/>
      <c r="C1107" s="214"/>
      <c r="E1107" s="213"/>
      <c r="F1107" s="214"/>
    </row>
    <row r="1108">
      <c r="B1108" s="213"/>
      <c r="C1108" s="214"/>
      <c r="E1108" s="213"/>
      <c r="F1108" s="214"/>
    </row>
    <row r="1109">
      <c r="B1109" s="213"/>
      <c r="C1109" s="214"/>
      <c r="E1109" s="213"/>
      <c r="F1109" s="214"/>
    </row>
    <row r="1110">
      <c r="B1110" s="213"/>
      <c r="C1110" s="214"/>
      <c r="E1110" s="213"/>
      <c r="F1110" s="214"/>
    </row>
    <row r="1111">
      <c r="B1111" s="213"/>
      <c r="C1111" s="214"/>
      <c r="E1111" s="213"/>
      <c r="F1111" s="214"/>
    </row>
    <row r="1112">
      <c r="B1112" s="213"/>
      <c r="C1112" s="214"/>
      <c r="E1112" s="213"/>
      <c r="F1112" s="214"/>
    </row>
    <row r="1113">
      <c r="B1113" s="213"/>
      <c r="C1113" s="214"/>
      <c r="E1113" s="213"/>
      <c r="F1113" s="214"/>
    </row>
    <row r="1114">
      <c r="B1114" s="213"/>
      <c r="C1114" s="214"/>
      <c r="E1114" s="213"/>
      <c r="F1114" s="214"/>
    </row>
    <row r="1115">
      <c r="B1115" s="213"/>
      <c r="C1115" s="214"/>
      <c r="E1115" s="213"/>
      <c r="F1115" s="214"/>
    </row>
    <row r="1116">
      <c r="B1116" s="213"/>
      <c r="C1116" s="214"/>
      <c r="E1116" s="213"/>
      <c r="F1116" s="214"/>
    </row>
    <row r="1117">
      <c r="B1117" s="213"/>
      <c r="C1117" s="214"/>
      <c r="E1117" s="213"/>
      <c r="F1117" s="214"/>
    </row>
    <row r="1118">
      <c r="B1118" s="213"/>
      <c r="C1118" s="214"/>
      <c r="E1118" s="213"/>
      <c r="F1118" s="214"/>
    </row>
    <row r="1119">
      <c r="B1119" s="213"/>
      <c r="C1119" s="214"/>
      <c r="E1119" s="213"/>
      <c r="F1119" s="214"/>
    </row>
    <row r="1120">
      <c r="B1120" s="213"/>
      <c r="C1120" s="214"/>
      <c r="E1120" s="213"/>
      <c r="F1120" s="214"/>
    </row>
    <row r="1121">
      <c r="B1121" s="213"/>
      <c r="C1121" s="214"/>
      <c r="E1121" s="213"/>
      <c r="F1121" s="214"/>
    </row>
    <row r="1122">
      <c r="B1122" s="213"/>
      <c r="C1122" s="214"/>
      <c r="E1122" s="213"/>
      <c r="F1122" s="214"/>
    </row>
    <row r="1123">
      <c r="B1123" s="213"/>
      <c r="C1123" s="214"/>
      <c r="E1123" s="213"/>
      <c r="F1123" s="214"/>
    </row>
    <row r="1124">
      <c r="B1124" s="213"/>
      <c r="C1124" s="214"/>
      <c r="E1124" s="213"/>
      <c r="F1124" s="214"/>
    </row>
    <row r="1125">
      <c r="B1125" s="213"/>
      <c r="C1125" s="214"/>
      <c r="E1125" s="213"/>
      <c r="F1125" s="214"/>
    </row>
    <row r="1126">
      <c r="B1126" s="213"/>
      <c r="C1126" s="214"/>
      <c r="E1126" s="213"/>
      <c r="F1126" s="214"/>
    </row>
    <row r="1127">
      <c r="B1127" s="213"/>
      <c r="C1127" s="214"/>
      <c r="E1127" s="213"/>
      <c r="F1127" s="214"/>
    </row>
    <row r="1128">
      <c r="B1128" s="213"/>
      <c r="C1128" s="214"/>
      <c r="E1128" s="213"/>
      <c r="F1128" s="214"/>
    </row>
    <row r="1129">
      <c r="B1129" s="213"/>
      <c r="C1129" s="214"/>
      <c r="E1129" s="213"/>
      <c r="F1129" s="214"/>
    </row>
    <row r="1130">
      <c r="B1130" s="213"/>
      <c r="C1130" s="214"/>
      <c r="E1130" s="213"/>
      <c r="F1130" s="214"/>
    </row>
    <row r="1131">
      <c r="B1131" s="213"/>
      <c r="C1131" s="214"/>
      <c r="E1131" s="213"/>
      <c r="F1131" s="214"/>
    </row>
    <row r="1132">
      <c r="B1132" s="213"/>
      <c r="C1132" s="214"/>
      <c r="E1132" s="213"/>
      <c r="F1132" s="214"/>
    </row>
    <row r="1133">
      <c r="B1133" s="213"/>
      <c r="C1133" s="214"/>
      <c r="E1133" s="213"/>
      <c r="F1133" s="214"/>
    </row>
    <row r="1134">
      <c r="B1134" s="213"/>
      <c r="C1134" s="214"/>
      <c r="E1134" s="213"/>
      <c r="F1134" s="214"/>
    </row>
    <row r="1135">
      <c r="B1135" s="213"/>
      <c r="C1135" s="214"/>
      <c r="E1135" s="213"/>
      <c r="F1135" s="214"/>
    </row>
    <row r="1136">
      <c r="B1136" s="213"/>
      <c r="C1136" s="214"/>
      <c r="E1136" s="213"/>
      <c r="F1136" s="214"/>
    </row>
    <row r="1137">
      <c r="B1137" s="213"/>
      <c r="C1137" s="214"/>
      <c r="E1137" s="213"/>
      <c r="F1137" s="214"/>
    </row>
    <row r="1138">
      <c r="B1138" s="213"/>
      <c r="C1138" s="214"/>
      <c r="E1138" s="213"/>
      <c r="F1138" s="214"/>
    </row>
    <row r="1139">
      <c r="B1139" s="213"/>
      <c r="C1139" s="214"/>
      <c r="E1139" s="213"/>
      <c r="F1139" s="214"/>
    </row>
    <row r="1140">
      <c r="B1140" s="213"/>
      <c r="C1140" s="214"/>
      <c r="E1140" s="213"/>
      <c r="F1140" s="214"/>
    </row>
    <row r="1141">
      <c r="B1141" s="213"/>
      <c r="C1141" s="214"/>
      <c r="E1141" s="213"/>
      <c r="F1141" s="214"/>
    </row>
    <row r="1142">
      <c r="B1142" s="213"/>
      <c r="C1142" s="214"/>
      <c r="E1142" s="213"/>
      <c r="F1142" s="214"/>
    </row>
    <row r="1143">
      <c r="B1143" s="213"/>
      <c r="C1143" s="214"/>
      <c r="E1143" s="213"/>
      <c r="F1143" s="214"/>
    </row>
    <row r="1144">
      <c r="B1144" s="213"/>
      <c r="C1144" s="214"/>
      <c r="E1144" s="213"/>
      <c r="F1144" s="214"/>
    </row>
    <row r="1145">
      <c r="B1145" s="213"/>
      <c r="C1145" s="214"/>
      <c r="E1145" s="213"/>
      <c r="F1145" s="214"/>
    </row>
    <row r="1146">
      <c r="B1146" s="213"/>
      <c r="C1146" s="214"/>
      <c r="E1146" s="213"/>
      <c r="F1146" s="214"/>
    </row>
    <row r="1147">
      <c r="B1147" s="213"/>
      <c r="C1147" s="214"/>
      <c r="E1147" s="213"/>
      <c r="F1147" s="214"/>
    </row>
    <row r="1148">
      <c r="B1148" s="213"/>
      <c r="C1148" s="214"/>
      <c r="E1148" s="213"/>
      <c r="F1148" s="214"/>
    </row>
    <row r="1149">
      <c r="B1149" s="213"/>
      <c r="C1149" s="214"/>
      <c r="E1149" s="213"/>
      <c r="F1149" s="214"/>
    </row>
    <row r="1150">
      <c r="B1150" s="213"/>
      <c r="C1150" s="214"/>
      <c r="E1150" s="213"/>
      <c r="F1150" s="214"/>
    </row>
    <row r="1151">
      <c r="B1151" s="213"/>
      <c r="C1151" s="214"/>
      <c r="E1151" s="213"/>
      <c r="F1151" s="214"/>
    </row>
    <row r="1152">
      <c r="B1152" s="213"/>
      <c r="C1152" s="214"/>
      <c r="E1152" s="213"/>
      <c r="F1152" s="214"/>
    </row>
    <row r="1153">
      <c r="B1153" s="213"/>
      <c r="C1153" s="214"/>
      <c r="E1153" s="213"/>
      <c r="F1153" s="214"/>
    </row>
    <row r="1154">
      <c r="B1154" s="213"/>
      <c r="C1154" s="214"/>
      <c r="E1154" s="213"/>
      <c r="F1154" s="214"/>
    </row>
    <row r="1155">
      <c r="B1155" s="213"/>
      <c r="C1155" s="214"/>
      <c r="E1155" s="213"/>
      <c r="F1155" s="214"/>
    </row>
    <row r="1156">
      <c r="B1156" s="213"/>
      <c r="C1156" s="214"/>
      <c r="E1156" s="213"/>
      <c r="F1156" s="214"/>
    </row>
    <row r="1157">
      <c r="B1157" s="213"/>
      <c r="C1157" s="214"/>
      <c r="E1157" s="213"/>
      <c r="F1157" s="214"/>
    </row>
    <row r="1158">
      <c r="B1158" s="213"/>
      <c r="C1158" s="214"/>
      <c r="E1158" s="213"/>
      <c r="F1158" s="214"/>
    </row>
    <row r="1159">
      <c r="B1159" s="213"/>
      <c r="C1159" s="214"/>
      <c r="E1159" s="213"/>
      <c r="F1159" s="214"/>
    </row>
    <row r="1160">
      <c r="B1160" s="213"/>
      <c r="C1160" s="214"/>
      <c r="E1160" s="213"/>
      <c r="F1160" s="214"/>
    </row>
    <row r="1161">
      <c r="B1161" s="213"/>
      <c r="C1161" s="214"/>
      <c r="E1161" s="213"/>
      <c r="F1161" s="214"/>
    </row>
    <row r="1162">
      <c r="B1162" s="213"/>
      <c r="C1162" s="214"/>
      <c r="E1162" s="213"/>
      <c r="F1162" s="214"/>
    </row>
    <row r="1163">
      <c r="B1163" s="213"/>
      <c r="C1163" s="214"/>
      <c r="E1163" s="213"/>
      <c r="F1163" s="214"/>
    </row>
    <row r="1164">
      <c r="B1164" s="213"/>
      <c r="C1164" s="214"/>
      <c r="E1164" s="213"/>
      <c r="F1164" s="214"/>
    </row>
    <row r="1165">
      <c r="B1165" s="213"/>
      <c r="C1165" s="214"/>
      <c r="E1165" s="213"/>
      <c r="F1165" s="214"/>
    </row>
    <row r="1166">
      <c r="B1166" s="213"/>
      <c r="C1166" s="214"/>
      <c r="E1166" s="213"/>
      <c r="F1166" s="214"/>
    </row>
    <row r="1167">
      <c r="B1167" s="213"/>
      <c r="C1167" s="214"/>
      <c r="E1167" s="213"/>
      <c r="F1167" s="214"/>
    </row>
    <row r="1168">
      <c r="B1168" s="213"/>
      <c r="C1168" s="214"/>
      <c r="E1168" s="213"/>
      <c r="F1168" s="214"/>
    </row>
    <row r="1169">
      <c r="B1169" s="213"/>
      <c r="C1169" s="214"/>
      <c r="E1169" s="213"/>
      <c r="F1169" s="214"/>
    </row>
    <row r="1170">
      <c r="B1170" s="213"/>
      <c r="C1170" s="214"/>
      <c r="E1170" s="213"/>
      <c r="F1170" s="214"/>
    </row>
    <row r="1171">
      <c r="B1171" s="213"/>
      <c r="C1171" s="214"/>
      <c r="E1171" s="213"/>
      <c r="F1171" s="214"/>
    </row>
    <row r="1172">
      <c r="B1172" s="213"/>
      <c r="C1172" s="214"/>
      <c r="E1172" s="213"/>
      <c r="F1172" s="214"/>
    </row>
    <row r="1173">
      <c r="B1173" s="213"/>
      <c r="C1173" s="214"/>
      <c r="E1173" s="213"/>
      <c r="F1173" s="214"/>
    </row>
    <row r="1174">
      <c r="B1174" s="213"/>
      <c r="C1174" s="214"/>
      <c r="E1174" s="213"/>
      <c r="F1174" s="214"/>
    </row>
    <row r="1175">
      <c r="B1175" s="213"/>
      <c r="C1175" s="214"/>
      <c r="E1175" s="213"/>
      <c r="F1175" s="214"/>
    </row>
    <row r="1176">
      <c r="B1176" s="213"/>
      <c r="C1176" s="214"/>
      <c r="E1176" s="213"/>
      <c r="F1176" s="214"/>
    </row>
    <row r="1177">
      <c r="B1177" s="213"/>
      <c r="C1177" s="214"/>
      <c r="E1177" s="213"/>
      <c r="F1177" s="214"/>
    </row>
    <row r="1178">
      <c r="B1178" s="213"/>
      <c r="C1178" s="214"/>
      <c r="E1178" s="213"/>
      <c r="F1178" s="214"/>
    </row>
    <row r="1179">
      <c r="B1179" s="213"/>
      <c r="C1179" s="214"/>
      <c r="E1179" s="213"/>
      <c r="F1179" s="214"/>
    </row>
    <row r="1180">
      <c r="B1180" s="213"/>
      <c r="C1180" s="214"/>
      <c r="E1180" s="213"/>
      <c r="F1180" s="214"/>
    </row>
    <row r="1181">
      <c r="B1181" s="213"/>
      <c r="C1181" s="214"/>
      <c r="E1181" s="213"/>
      <c r="F1181" s="214"/>
    </row>
    <row r="1182">
      <c r="B1182" s="213"/>
      <c r="C1182" s="214"/>
      <c r="E1182" s="213"/>
      <c r="F1182" s="214"/>
    </row>
    <row r="1183">
      <c r="B1183" s="213"/>
      <c r="C1183" s="214"/>
      <c r="E1183" s="213"/>
      <c r="F1183" s="214"/>
    </row>
    <row r="1184">
      <c r="B1184" s="213"/>
      <c r="C1184" s="214"/>
      <c r="E1184" s="213"/>
      <c r="F1184" s="214"/>
    </row>
    <row r="1185">
      <c r="B1185" s="213"/>
      <c r="C1185" s="214"/>
      <c r="E1185" s="213"/>
      <c r="F1185" s="214"/>
    </row>
    <row r="1186">
      <c r="B1186" s="213"/>
      <c r="C1186" s="214"/>
      <c r="E1186" s="213"/>
      <c r="F1186" s="214"/>
    </row>
    <row r="1187">
      <c r="B1187" s="213"/>
      <c r="C1187" s="214"/>
      <c r="E1187" s="213"/>
      <c r="F1187" s="214"/>
    </row>
    <row r="1188">
      <c r="B1188" s="213"/>
      <c r="C1188" s="214"/>
      <c r="E1188" s="213"/>
      <c r="F1188" s="214"/>
    </row>
    <row r="1189">
      <c r="B1189" s="213"/>
      <c r="C1189" s="214"/>
      <c r="E1189" s="213"/>
      <c r="F1189" s="214"/>
    </row>
    <row r="1190">
      <c r="B1190" s="213"/>
      <c r="C1190" s="214"/>
      <c r="E1190" s="213"/>
      <c r="F1190" s="214"/>
    </row>
    <row r="1191">
      <c r="B1191" s="213"/>
      <c r="C1191" s="214"/>
      <c r="E1191" s="213"/>
      <c r="F1191" s="214"/>
    </row>
    <row r="1192">
      <c r="B1192" s="213"/>
      <c r="C1192" s="214"/>
      <c r="E1192" s="213"/>
      <c r="F1192" s="214"/>
    </row>
    <row r="1193">
      <c r="B1193" s="213"/>
      <c r="C1193" s="214"/>
      <c r="E1193" s="213"/>
      <c r="F1193" s="214"/>
    </row>
    <row r="1194">
      <c r="B1194" s="213"/>
      <c r="C1194" s="214"/>
      <c r="E1194" s="213"/>
      <c r="F1194" s="214"/>
    </row>
    <row r="1195">
      <c r="B1195" s="213"/>
      <c r="C1195" s="214"/>
      <c r="E1195" s="213"/>
      <c r="F1195" s="214"/>
    </row>
    <row r="1196">
      <c r="B1196" s="213"/>
      <c r="C1196" s="214"/>
      <c r="E1196" s="213"/>
      <c r="F1196" s="214"/>
    </row>
    <row r="1197">
      <c r="B1197" s="213"/>
      <c r="C1197" s="214"/>
      <c r="E1197" s="213"/>
      <c r="F1197" s="214"/>
    </row>
    <row r="1198">
      <c r="B1198" s="213"/>
      <c r="C1198" s="214"/>
      <c r="E1198" s="213"/>
      <c r="F1198" s="214"/>
    </row>
    <row r="1199">
      <c r="B1199" s="213"/>
      <c r="C1199" s="214"/>
      <c r="E1199" s="213"/>
      <c r="F1199" s="214"/>
    </row>
    <row r="1200">
      <c r="B1200" s="213"/>
      <c r="C1200" s="214"/>
      <c r="E1200" s="213"/>
      <c r="F1200" s="214"/>
    </row>
    <row r="1201">
      <c r="B1201" s="213"/>
      <c r="C1201" s="214"/>
      <c r="E1201" s="213"/>
      <c r="F1201" s="214"/>
    </row>
    <row r="1202">
      <c r="B1202" s="213"/>
      <c r="C1202" s="214"/>
      <c r="E1202" s="213"/>
      <c r="F1202" s="214"/>
    </row>
    <row r="1203">
      <c r="B1203" s="213"/>
      <c r="C1203" s="214"/>
      <c r="E1203" s="213"/>
      <c r="F1203" s="214"/>
    </row>
    <row r="1204">
      <c r="B1204" s="213"/>
      <c r="C1204" s="214"/>
      <c r="E1204" s="213"/>
      <c r="F1204" s="214"/>
    </row>
    <row r="1205">
      <c r="B1205" s="213"/>
      <c r="C1205" s="214"/>
      <c r="E1205" s="213"/>
      <c r="F1205" s="214"/>
    </row>
    <row r="1206">
      <c r="B1206" s="213"/>
      <c r="C1206" s="214"/>
      <c r="E1206" s="213"/>
      <c r="F1206" s="214"/>
    </row>
    <row r="1207">
      <c r="B1207" s="213"/>
      <c r="C1207" s="214"/>
      <c r="E1207" s="213"/>
      <c r="F1207" s="214"/>
    </row>
    <row r="1208">
      <c r="B1208" s="213"/>
      <c r="C1208" s="214"/>
      <c r="E1208" s="213"/>
      <c r="F1208" s="214"/>
    </row>
    <row r="1209">
      <c r="B1209" s="213"/>
      <c r="C1209" s="214"/>
      <c r="E1209" s="213"/>
      <c r="F1209" s="214"/>
    </row>
    <row r="1210">
      <c r="B1210" s="213"/>
      <c r="C1210" s="214"/>
      <c r="E1210" s="213"/>
      <c r="F1210" s="214"/>
    </row>
    <row r="1211">
      <c r="B1211" s="213"/>
      <c r="C1211" s="214"/>
      <c r="E1211" s="213"/>
      <c r="F1211" s="214"/>
    </row>
    <row r="1212">
      <c r="B1212" s="213"/>
      <c r="C1212" s="214"/>
      <c r="E1212" s="213"/>
      <c r="F1212" s="214"/>
    </row>
    <row r="1213">
      <c r="B1213" s="213"/>
      <c r="C1213" s="214"/>
      <c r="E1213" s="213"/>
      <c r="F1213" s="214"/>
    </row>
    <row r="1214">
      <c r="B1214" s="213"/>
      <c r="C1214" s="214"/>
      <c r="E1214" s="213"/>
      <c r="F1214" s="214"/>
    </row>
    <row r="1215">
      <c r="B1215" s="213"/>
      <c r="C1215" s="214"/>
      <c r="E1215" s="213"/>
      <c r="F1215" s="214"/>
    </row>
    <row r="1216">
      <c r="B1216" s="213"/>
      <c r="C1216" s="214"/>
      <c r="E1216" s="213"/>
      <c r="F1216" s="214"/>
    </row>
    <row r="1217">
      <c r="B1217" s="213"/>
      <c r="C1217" s="214"/>
      <c r="E1217" s="213"/>
      <c r="F1217" s="214"/>
    </row>
    <row r="1218">
      <c r="B1218" s="213"/>
      <c r="C1218" s="214"/>
      <c r="E1218" s="213"/>
      <c r="F1218" s="214"/>
    </row>
    <row r="1219">
      <c r="B1219" s="213"/>
      <c r="C1219" s="214"/>
      <c r="E1219" s="213"/>
      <c r="F1219" s="214"/>
    </row>
    <row r="1220">
      <c r="B1220" s="213"/>
      <c r="C1220" s="214"/>
      <c r="E1220" s="213"/>
      <c r="F1220" s="214"/>
    </row>
    <row r="1221">
      <c r="B1221" s="213"/>
      <c r="C1221" s="214"/>
      <c r="E1221" s="213"/>
      <c r="F1221" s="214"/>
    </row>
    <row r="1222">
      <c r="B1222" s="213"/>
      <c r="C1222" s="214"/>
      <c r="E1222" s="213"/>
      <c r="F1222" s="214"/>
    </row>
    <row r="1223">
      <c r="B1223" s="213"/>
      <c r="C1223" s="214"/>
      <c r="E1223" s="213"/>
      <c r="F1223" s="214"/>
    </row>
    <row r="1224">
      <c r="B1224" s="213"/>
      <c r="C1224" s="214"/>
      <c r="E1224" s="213"/>
      <c r="F1224" s="214"/>
    </row>
    <row r="1225">
      <c r="B1225" s="213"/>
      <c r="C1225" s="214"/>
      <c r="E1225" s="213"/>
      <c r="F1225" s="214"/>
    </row>
    <row r="1226">
      <c r="B1226" s="213"/>
      <c r="C1226" s="214"/>
      <c r="E1226" s="213"/>
      <c r="F1226" s="214"/>
    </row>
    <row r="1227">
      <c r="B1227" s="213"/>
      <c r="C1227" s="214"/>
      <c r="E1227" s="213"/>
      <c r="F1227" s="214"/>
    </row>
    <row r="1228">
      <c r="B1228" s="213"/>
      <c r="C1228" s="214"/>
      <c r="E1228" s="213"/>
      <c r="F1228" s="214"/>
    </row>
    <row r="1229">
      <c r="B1229" s="213"/>
      <c r="C1229" s="214"/>
      <c r="E1229" s="213"/>
      <c r="F1229" s="214"/>
    </row>
    <row r="1230">
      <c r="B1230" s="213"/>
      <c r="C1230" s="214"/>
      <c r="E1230" s="213"/>
      <c r="F1230" s="214"/>
    </row>
    <row r="1231">
      <c r="B1231" s="213"/>
      <c r="C1231" s="214"/>
      <c r="E1231" s="213"/>
      <c r="F1231" s="214"/>
    </row>
    <row r="1232">
      <c r="B1232" s="213"/>
      <c r="C1232" s="214"/>
      <c r="E1232" s="213"/>
      <c r="F1232" s="214"/>
    </row>
    <row r="1233">
      <c r="B1233" s="213"/>
      <c r="C1233" s="214"/>
      <c r="E1233" s="213"/>
      <c r="F1233" s="214"/>
    </row>
    <row r="1234">
      <c r="B1234" s="213"/>
      <c r="C1234" s="214"/>
      <c r="E1234" s="213"/>
      <c r="F1234" s="214"/>
    </row>
    <row r="1235">
      <c r="B1235" s="213"/>
      <c r="C1235" s="214"/>
      <c r="E1235" s="213"/>
      <c r="F1235" s="214"/>
    </row>
    <row r="1236">
      <c r="B1236" s="213"/>
      <c r="C1236" s="214"/>
      <c r="E1236" s="213"/>
      <c r="F1236" s="214"/>
    </row>
    <row r="1237">
      <c r="B1237" s="213"/>
      <c r="C1237" s="214"/>
      <c r="E1237" s="213"/>
      <c r="F1237" s="214"/>
    </row>
    <row r="1238">
      <c r="B1238" s="213"/>
      <c r="C1238" s="214"/>
      <c r="E1238" s="213"/>
      <c r="F1238" s="214"/>
    </row>
    <row r="1239">
      <c r="B1239" s="213"/>
      <c r="C1239" s="214"/>
      <c r="E1239" s="213"/>
      <c r="F1239" s="214"/>
    </row>
    <row r="1240">
      <c r="B1240" s="213"/>
      <c r="C1240" s="214"/>
      <c r="E1240" s="213"/>
      <c r="F1240" s="214"/>
    </row>
    <row r="1241">
      <c r="B1241" s="213"/>
      <c r="C1241" s="214"/>
      <c r="E1241" s="213"/>
      <c r="F1241" s="214"/>
    </row>
    <row r="1242">
      <c r="B1242" s="213"/>
      <c r="C1242" s="214"/>
      <c r="E1242" s="213"/>
      <c r="F1242" s="214"/>
    </row>
    <row r="1243">
      <c r="B1243" s="213"/>
      <c r="C1243" s="214"/>
      <c r="E1243" s="213"/>
      <c r="F1243" s="214"/>
    </row>
    <row r="1244">
      <c r="B1244" s="213"/>
      <c r="C1244" s="214"/>
      <c r="E1244" s="213"/>
      <c r="F1244" s="214"/>
    </row>
    <row r="1245">
      <c r="B1245" s="213"/>
      <c r="C1245" s="214"/>
      <c r="E1245" s="213"/>
      <c r="F1245" s="214"/>
    </row>
    <row r="1246">
      <c r="B1246" s="213"/>
      <c r="C1246" s="214"/>
      <c r="E1246" s="213"/>
      <c r="F1246" s="214"/>
    </row>
    <row r="1247">
      <c r="B1247" s="213"/>
      <c r="C1247" s="214"/>
      <c r="E1247" s="213"/>
      <c r="F1247" s="214"/>
    </row>
    <row r="1248">
      <c r="B1248" s="213"/>
      <c r="C1248" s="214"/>
      <c r="E1248" s="213"/>
      <c r="F1248" s="214"/>
    </row>
    <row r="1249">
      <c r="B1249" s="213"/>
      <c r="C1249" s="214"/>
      <c r="E1249" s="213"/>
      <c r="F1249" s="214"/>
    </row>
    <row r="1250">
      <c r="B1250" s="213"/>
      <c r="C1250" s="214"/>
      <c r="E1250" s="213"/>
      <c r="F1250" s="214"/>
    </row>
    <row r="1251">
      <c r="B1251" s="213"/>
      <c r="C1251" s="214"/>
      <c r="E1251" s="213"/>
      <c r="F1251" s="214"/>
    </row>
    <row r="1252">
      <c r="B1252" s="213"/>
      <c r="C1252" s="214"/>
      <c r="E1252" s="213"/>
      <c r="F1252" s="214"/>
    </row>
    <row r="1253">
      <c r="B1253" s="213"/>
      <c r="C1253" s="214"/>
      <c r="E1253" s="213"/>
      <c r="F1253" s="214"/>
    </row>
    <row r="1254">
      <c r="B1254" s="213"/>
      <c r="C1254" s="214"/>
      <c r="E1254" s="213"/>
      <c r="F1254" s="214"/>
    </row>
    <row r="1255">
      <c r="B1255" s="213"/>
      <c r="C1255" s="214"/>
      <c r="E1255" s="213"/>
      <c r="F1255" s="214"/>
    </row>
    <row r="1256">
      <c r="B1256" s="213"/>
      <c r="C1256" s="214"/>
      <c r="E1256" s="213"/>
      <c r="F1256" s="214"/>
    </row>
    <row r="1257">
      <c r="B1257" s="213"/>
      <c r="C1257" s="214"/>
      <c r="E1257" s="213"/>
      <c r="F1257" s="214"/>
    </row>
    <row r="1258">
      <c r="B1258" s="213"/>
      <c r="C1258" s="214"/>
      <c r="E1258" s="213"/>
      <c r="F1258" s="214"/>
    </row>
    <row r="1259">
      <c r="B1259" s="213"/>
      <c r="C1259" s="214"/>
      <c r="E1259" s="213"/>
      <c r="F1259" s="214"/>
    </row>
    <row r="1260">
      <c r="B1260" s="213"/>
      <c r="C1260" s="214"/>
      <c r="E1260" s="213"/>
      <c r="F1260" s="214"/>
    </row>
    <row r="1261">
      <c r="B1261" s="213"/>
      <c r="C1261" s="214"/>
      <c r="E1261" s="213"/>
      <c r="F1261" s="214"/>
    </row>
    <row r="1262">
      <c r="B1262" s="213"/>
      <c r="C1262" s="214"/>
      <c r="E1262" s="213"/>
      <c r="F1262" s="214"/>
    </row>
    <row r="1263">
      <c r="B1263" s="213"/>
      <c r="C1263" s="214"/>
      <c r="E1263" s="213"/>
      <c r="F1263" s="214"/>
    </row>
    <row r="1264">
      <c r="B1264" s="213"/>
      <c r="C1264" s="214"/>
      <c r="E1264" s="213"/>
      <c r="F1264" s="214"/>
    </row>
    <row r="1265">
      <c r="B1265" s="213"/>
      <c r="C1265" s="214"/>
      <c r="E1265" s="213"/>
      <c r="F1265" s="214"/>
    </row>
    <row r="1266">
      <c r="B1266" s="213"/>
      <c r="C1266" s="214"/>
      <c r="E1266" s="213"/>
      <c r="F1266" s="214"/>
    </row>
    <row r="1267">
      <c r="B1267" s="213"/>
      <c r="C1267" s="214"/>
      <c r="E1267" s="213"/>
      <c r="F1267" s="214"/>
    </row>
    <row r="1268">
      <c r="B1268" s="213"/>
      <c r="C1268" s="214"/>
      <c r="E1268" s="213"/>
      <c r="F1268" s="214"/>
    </row>
    <row r="1269">
      <c r="B1269" s="213"/>
      <c r="C1269" s="214"/>
      <c r="E1269" s="213"/>
      <c r="F1269" s="214"/>
    </row>
    <row r="1270">
      <c r="B1270" s="213"/>
      <c r="C1270" s="214"/>
      <c r="E1270" s="213"/>
      <c r="F1270" s="214"/>
    </row>
    <row r="1271">
      <c r="B1271" s="213"/>
      <c r="C1271" s="214"/>
      <c r="E1271" s="213"/>
      <c r="F1271" s="214"/>
    </row>
    <row r="1272">
      <c r="B1272" s="213"/>
      <c r="C1272" s="214"/>
      <c r="E1272" s="213"/>
      <c r="F1272" s="214"/>
    </row>
    <row r="1273">
      <c r="B1273" s="213"/>
      <c r="C1273" s="214"/>
      <c r="E1273" s="213"/>
      <c r="F1273" s="214"/>
    </row>
    <row r="1274">
      <c r="B1274" s="213"/>
      <c r="C1274" s="214"/>
      <c r="E1274" s="213"/>
      <c r="F1274" s="214"/>
    </row>
    <row r="1275">
      <c r="B1275" s="213"/>
      <c r="C1275" s="214"/>
      <c r="E1275" s="213"/>
      <c r="F1275" s="214"/>
    </row>
    <row r="1276">
      <c r="B1276" s="213"/>
      <c r="C1276" s="214"/>
      <c r="E1276" s="213"/>
      <c r="F1276" s="214"/>
    </row>
    <row r="1277">
      <c r="B1277" s="213"/>
      <c r="C1277" s="214"/>
      <c r="E1277" s="213"/>
      <c r="F1277" s="214"/>
    </row>
    <row r="1278">
      <c r="B1278" s="213"/>
      <c r="C1278" s="214"/>
      <c r="E1278" s="213"/>
      <c r="F1278" s="214"/>
    </row>
    <row r="1279">
      <c r="B1279" s="213"/>
      <c r="C1279" s="214"/>
      <c r="E1279" s="213"/>
      <c r="F1279" s="214"/>
    </row>
    <row r="1280">
      <c r="B1280" s="213"/>
      <c r="C1280" s="214"/>
      <c r="E1280" s="213"/>
      <c r="F1280" s="214"/>
    </row>
    <row r="1281">
      <c r="B1281" s="213"/>
      <c r="C1281" s="214"/>
      <c r="E1281" s="213"/>
      <c r="F1281" s="214"/>
    </row>
    <row r="1282">
      <c r="B1282" s="213"/>
      <c r="C1282" s="214"/>
      <c r="E1282" s="213"/>
      <c r="F1282" s="214"/>
    </row>
    <row r="1283">
      <c r="B1283" s="213"/>
      <c r="C1283" s="214"/>
      <c r="E1283" s="213"/>
      <c r="F1283" s="214"/>
    </row>
    <row r="1284">
      <c r="B1284" s="213"/>
      <c r="C1284" s="214"/>
      <c r="E1284" s="213"/>
      <c r="F1284" s="214"/>
    </row>
    <row r="1285">
      <c r="B1285" s="213"/>
      <c r="C1285" s="214"/>
      <c r="E1285" s="213"/>
      <c r="F1285" s="214"/>
    </row>
    <row r="1286">
      <c r="B1286" s="213"/>
      <c r="C1286" s="214"/>
      <c r="E1286" s="213"/>
      <c r="F1286" s="214"/>
    </row>
    <row r="1287">
      <c r="B1287" s="213"/>
      <c r="C1287" s="214"/>
      <c r="E1287" s="213"/>
      <c r="F1287" s="214"/>
    </row>
    <row r="1288">
      <c r="B1288" s="213"/>
      <c r="C1288" s="214"/>
      <c r="E1288" s="213"/>
      <c r="F1288" s="214"/>
    </row>
    <row r="1289">
      <c r="B1289" s="213"/>
      <c r="C1289" s="214"/>
      <c r="E1289" s="213"/>
      <c r="F1289" s="214"/>
    </row>
    <row r="1290">
      <c r="B1290" s="213"/>
      <c r="C1290" s="214"/>
      <c r="E1290" s="213"/>
      <c r="F1290" s="214"/>
    </row>
    <row r="1291">
      <c r="B1291" s="213"/>
      <c r="C1291" s="214"/>
      <c r="E1291" s="213"/>
      <c r="F1291" s="214"/>
    </row>
    <row r="1292">
      <c r="B1292" s="213"/>
      <c r="C1292" s="214"/>
      <c r="E1292" s="213"/>
      <c r="F1292" s="214"/>
    </row>
    <row r="1293">
      <c r="B1293" s="213"/>
      <c r="C1293" s="214"/>
      <c r="E1293" s="213"/>
      <c r="F1293" s="214"/>
    </row>
    <row r="1294">
      <c r="B1294" s="213"/>
      <c r="C1294" s="214"/>
      <c r="E1294" s="213"/>
      <c r="F1294" s="214"/>
    </row>
    <row r="1295">
      <c r="B1295" s="213"/>
      <c r="C1295" s="214"/>
      <c r="E1295" s="213"/>
      <c r="F1295" s="214"/>
    </row>
    <row r="1296">
      <c r="B1296" s="213"/>
      <c r="C1296" s="214"/>
      <c r="E1296" s="213"/>
      <c r="F1296" s="214"/>
    </row>
    <row r="1297">
      <c r="B1297" s="213"/>
      <c r="C1297" s="214"/>
      <c r="E1297" s="213"/>
      <c r="F1297" s="214"/>
    </row>
    <row r="1298">
      <c r="B1298" s="213"/>
      <c r="C1298" s="214"/>
      <c r="E1298" s="213"/>
      <c r="F1298" s="214"/>
    </row>
    <row r="1299">
      <c r="B1299" s="213"/>
      <c r="C1299" s="214"/>
      <c r="E1299" s="213"/>
      <c r="F1299" s="214"/>
    </row>
    <row r="1300">
      <c r="B1300" s="213"/>
      <c r="C1300" s="214"/>
      <c r="E1300" s="213"/>
      <c r="F1300" s="214"/>
    </row>
    <row r="1301">
      <c r="B1301" s="213"/>
      <c r="C1301" s="214"/>
      <c r="E1301" s="213"/>
      <c r="F1301" s="214"/>
    </row>
    <row r="1302">
      <c r="B1302" s="213"/>
      <c r="C1302" s="214"/>
      <c r="E1302" s="213"/>
      <c r="F1302" s="214"/>
    </row>
    <row r="1303">
      <c r="B1303" s="213"/>
      <c r="C1303" s="214"/>
      <c r="E1303" s="213"/>
      <c r="F1303" s="214"/>
    </row>
    <row r="1304">
      <c r="B1304" s="213"/>
      <c r="C1304" s="214"/>
      <c r="E1304" s="213"/>
      <c r="F1304" s="214"/>
    </row>
    <row r="1305">
      <c r="B1305" s="213"/>
      <c r="C1305" s="214"/>
      <c r="E1305" s="213"/>
      <c r="F1305" s="214"/>
    </row>
    <row r="1306">
      <c r="B1306" s="213"/>
      <c r="C1306" s="214"/>
      <c r="E1306" s="213"/>
      <c r="F1306" s="214"/>
    </row>
    <row r="1307">
      <c r="B1307" s="213"/>
      <c r="C1307" s="214"/>
      <c r="E1307" s="213"/>
      <c r="F1307" s="214"/>
    </row>
    <row r="1308">
      <c r="B1308" s="213"/>
      <c r="C1308" s="214"/>
      <c r="E1308" s="213"/>
      <c r="F1308" s="214"/>
    </row>
    <row r="1309">
      <c r="B1309" s="213"/>
      <c r="C1309" s="214"/>
      <c r="E1309" s="213"/>
      <c r="F1309" s="214"/>
    </row>
    <row r="1310">
      <c r="B1310" s="213"/>
      <c r="C1310" s="214"/>
      <c r="E1310" s="213"/>
      <c r="F1310" s="214"/>
    </row>
    <row r="1311">
      <c r="B1311" s="213"/>
      <c r="C1311" s="214"/>
      <c r="E1311" s="213"/>
      <c r="F1311" s="214"/>
    </row>
    <row r="1312">
      <c r="B1312" s="213"/>
      <c r="C1312" s="214"/>
      <c r="E1312" s="213"/>
      <c r="F1312" s="214"/>
    </row>
    <row r="1313">
      <c r="B1313" s="213"/>
      <c r="C1313" s="214"/>
      <c r="E1313" s="213"/>
      <c r="F1313" s="214"/>
    </row>
    <row r="1314">
      <c r="B1314" s="213"/>
      <c r="C1314" s="214"/>
      <c r="E1314" s="213"/>
      <c r="F1314" s="214"/>
    </row>
    <row r="1315">
      <c r="B1315" s="213"/>
      <c r="C1315" s="214"/>
      <c r="E1315" s="213"/>
      <c r="F1315" s="214"/>
    </row>
    <row r="1316">
      <c r="B1316" s="213"/>
      <c r="C1316" s="214"/>
      <c r="E1316" s="213"/>
      <c r="F1316" s="214"/>
    </row>
    <row r="1317">
      <c r="B1317" s="213"/>
      <c r="C1317" s="214"/>
      <c r="E1317" s="213"/>
      <c r="F1317" s="214"/>
    </row>
    <row r="1318">
      <c r="B1318" s="213"/>
      <c r="C1318" s="214"/>
      <c r="E1318" s="213"/>
      <c r="F1318" s="214"/>
    </row>
    <row r="1319">
      <c r="B1319" s="213"/>
      <c r="C1319" s="214"/>
      <c r="E1319" s="213"/>
      <c r="F1319" s="214"/>
    </row>
    <row r="1320">
      <c r="B1320" s="213"/>
      <c r="C1320" s="214"/>
      <c r="E1320" s="213"/>
      <c r="F1320" s="214"/>
    </row>
    <row r="1321">
      <c r="B1321" s="213"/>
      <c r="C1321" s="214"/>
      <c r="E1321" s="213"/>
      <c r="F1321" s="214"/>
    </row>
    <row r="1322">
      <c r="B1322" s="213"/>
      <c r="C1322" s="214"/>
      <c r="E1322" s="213"/>
      <c r="F1322" s="214"/>
    </row>
    <row r="1323">
      <c r="B1323" s="213"/>
      <c r="C1323" s="214"/>
      <c r="E1323" s="213"/>
      <c r="F1323" s="214"/>
    </row>
    <row r="1324">
      <c r="B1324" s="213"/>
      <c r="C1324" s="214"/>
      <c r="E1324" s="213"/>
      <c r="F1324" s="214"/>
    </row>
    <row r="1325">
      <c r="B1325" s="213"/>
      <c r="C1325" s="214"/>
      <c r="E1325" s="213"/>
      <c r="F1325" s="214"/>
    </row>
    <row r="1326">
      <c r="B1326" s="213"/>
      <c r="C1326" s="214"/>
      <c r="E1326" s="213"/>
      <c r="F1326" s="214"/>
    </row>
    <row r="1327">
      <c r="B1327" s="213"/>
      <c r="C1327" s="214"/>
      <c r="E1327" s="213"/>
      <c r="F1327" s="214"/>
    </row>
    <row r="1328">
      <c r="B1328" s="213"/>
      <c r="C1328" s="214"/>
      <c r="E1328" s="213"/>
      <c r="F1328" s="214"/>
    </row>
    <row r="1329">
      <c r="B1329" s="213"/>
      <c r="C1329" s="214"/>
      <c r="E1329" s="213"/>
      <c r="F1329" s="214"/>
    </row>
    <row r="1330">
      <c r="B1330" s="213"/>
      <c r="C1330" s="214"/>
      <c r="E1330" s="213"/>
      <c r="F1330" s="214"/>
    </row>
    <row r="1331">
      <c r="B1331" s="213"/>
      <c r="C1331" s="214"/>
      <c r="E1331" s="213"/>
      <c r="F1331" s="214"/>
    </row>
    <row r="1332">
      <c r="B1332" s="213"/>
      <c r="C1332" s="214"/>
      <c r="E1332" s="213"/>
      <c r="F1332" s="214"/>
    </row>
    <row r="1333">
      <c r="B1333" s="213"/>
      <c r="C1333" s="214"/>
      <c r="E1333" s="213"/>
      <c r="F1333" s="214"/>
    </row>
    <row r="1334">
      <c r="B1334" s="213"/>
      <c r="C1334" s="214"/>
      <c r="E1334" s="213"/>
      <c r="F1334" s="214"/>
    </row>
    <row r="1335">
      <c r="B1335" s="213"/>
      <c r="C1335" s="214"/>
      <c r="E1335" s="213"/>
      <c r="F1335" s="214"/>
    </row>
    <row r="1336">
      <c r="B1336" s="213"/>
      <c r="C1336" s="214"/>
      <c r="E1336" s="213"/>
      <c r="F1336" s="214"/>
    </row>
    <row r="1337">
      <c r="B1337" s="213"/>
      <c r="C1337" s="214"/>
      <c r="E1337" s="213"/>
      <c r="F1337" s="214"/>
    </row>
    <row r="1338">
      <c r="B1338" s="213"/>
      <c r="C1338" s="214"/>
      <c r="E1338" s="213"/>
      <c r="F1338" s="214"/>
    </row>
    <row r="1339">
      <c r="B1339" s="213"/>
      <c r="C1339" s="214"/>
      <c r="E1339" s="213"/>
      <c r="F1339" s="214"/>
    </row>
    <row r="1340">
      <c r="B1340" s="213"/>
      <c r="C1340" s="214"/>
      <c r="E1340" s="213"/>
      <c r="F1340" s="214"/>
    </row>
    <row r="1341">
      <c r="B1341" s="213"/>
      <c r="C1341" s="214"/>
      <c r="E1341" s="213"/>
      <c r="F1341" s="214"/>
    </row>
    <row r="1342">
      <c r="B1342" s="213"/>
      <c r="C1342" s="214"/>
      <c r="E1342" s="213"/>
      <c r="F1342" s="214"/>
    </row>
    <row r="1343">
      <c r="B1343" s="213"/>
      <c r="C1343" s="214"/>
      <c r="E1343" s="213"/>
      <c r="F1343" s="214"/>
    </row>
    <row r="1344">
      <c r="B1344" s="213"/>
      <c r="C1344" s="214"/>
      <c r="E1344" s="213"/>
      <c r="F1344" s="214"/>
    </row>
    <row r="1345">
      <c r="B1345" s="213"/>
      <c r="C1345" s="214"/>
      <c r="E1345" s="213"/>
      <c r="F1345" s="214"/>
    </row>
    <row r="1346">
      <c r="B1346" s="213"/>
      <c r="C1346" s="214"/>
      <c r="E1346" s="213"/>
      <c r="F1346" s="214"/>
    </row>
    <row r="1347">
      <c r="B1347" s="213"/>
      <c r="C1347" s="214"/>
      <c r="E1347" s="213"/>
      <c r="F1347" s="214"/>
    </row>
    <row r="1348">
      <c r="B1348" s="213"/>
      <c r="C1348" s="214"/>
      <c r="E1348" s="213"/>
      <c r="F1348" s="214"/>
    </row>
    <row r="1349">
      <c r="B1349" s="213"/>
      <c r="C1349" s="214"/>
      <c r="E1349" s="213"/>
      <c r="F1349" s="214"/>
    </row>
    <row r="1350">
      <c r="B1350" s="213"/>
      <c r="C1350" s="214"/>
      <c r="E1350" s="213"/>
      <c r="F1350" s="214"/>
    </row>
    <row r="1351">
      <c r="B1351" s="213"/>
      <c r="C1351" s="214"/>
      <c r="E1351" s="213"/>
      <c r="F1351" s="214"/>
    </row>
    <row r="1352">
      <c r="B1352" s="213"/>
      <c r="C1352" s="214"/>
      <c r="E1352" s="213"/>
      <c r="F1352" s="214"/>
    </row>
    <row r="1353">
      <c r="B1353" s="213"/>
      <c r="C1353" s="214"/>
      <c r="E1353" s="213"/>
      <c r="F1353" s="214"/>
    </row>
    <row r="1354">
      <c r="B1354" s="213"/>
      <c r="C1354" s="214"/>
      <c r="E1354" s="213"/>
      <c r="F1354" s="214"/>
    </row>
    <row r="1355">
      <c r="B1355" s="213"/>
      <c r="C1355" s="214"/>
      <c r="E1355" s="213"/>
      <c r="F1355" s="214"/>
    </row>
    <row r="1356">
      <c r="B1356" s="213"/>
      <c r="C1356" s="214"/>
      <c r="E1356" s="213"/>
      <c r="F1356" s="214"/>
    </row>
    <row r="1357">
      <c r="B1357" s="213"/>
      <c r="C1357" s="214"/>
      <c r="E1357" s="213"/>
      <c r="F1357" s="214"/>
    </row>
    <row r="1358">
      <c r="B1358" s="213"/>
      <c r="C1358" s="214"/>
      <c r="E1358" s="213"/>
      <c r="F1358" s="214"/>
    </row>
    <row r="1359">
      <c r="B1359" s="213"/>
      <c r="C1359" s="214"/>
      <c r="E1359" s="213"/>
      <c r="F1359" s="214"/>
    </row>
    <row r="1360">
      <c r="B1360" s="213"/>
      <c r="C1360" s="214"/>
      <c r="E1360" s="213"/>
      <c r="F1360" s="214"/>
    </row>
    <row r="1361">
      <c r="B1361" s="213"/>
      <c r="C1361" s="214"/>
      <c r="E1361" s="213"/>
      <c r="F1361" s="214"/>
    </row>
    <row r="1362">
      <c r="B1362" s="213"/>
      <c r="C1362" s="214"/>
      <c r="E1362" s="213"/>
      <c r="F1362" s="214"/>
    </row>
    <row r="1363">
      <c r="B1363" s="213"/>
      <c r="C1363" s="214"/>
      <c r="E1363" s="213"/>
      <c r="F1363" s="214"/>
    </row>
    <row r="1364">
      <c r="B1364" s="213"/>
      <c r="C1364" s="214"/>
      <c r="E1364" s="213"/>
      <c r="F1364" s="214"/>
    </row>
    <row r="1365">
      <c r="B1365" s="213"/>
      <c r="C1365" s="214"/>
      <c r="E1365" s="213"/>
      <c r="F1365" s="214"/>
    </row>
    <row r="1366">
      <c r="B1366" s="213"/>
      <c r="C1366" s="214"/>
      <c r="E1366" s="213"/>
      <c r="F1366" s="214"/>
    </row>
    <row r="1367">
      <c r="B1367" s="213"/>
      <c r="C1367" s="214"/>
      <c r="E1367" s="213"/>
      <c r="F1367" s="214"/>
    </row>
    <row r="1368">
      <c r="B1368" s="213"/>
      <c r="C1368" s="214"/>
      <c r="E1368" s="213"/>
      <c r="F1368" s="214"/>
    </row>
    <row r="1369">
      <c r="B1369" s="213"/>
      <c r="C1369" s="214"/>
      <c r="E1369" s="213"/>
      <c r="F1369" s="214"/>
    </row>
    <row r="1370">
      <c r="B1370" s="213"/>
      <c r="C1370" s="214"/>
      <c r="E1370" s="213"/>
      <c r="F1370" s="214"/>
    </row>
    <row r="1371">
      <c r="B1371" s="213"/>
      <c r="C1371" s="214"/>
      <c r="E1371" s="213"/>
      <c r="F1371" s="214"/>
    </row>
    <row r="1372">
      <c r="B1372" s="213"/>
      <c r="C1372" s="214"/>
      <c r="E1372" s="213"/>
      <c r="F1372" s="214"/>
    </row>
    <row r="1373">
      <c r="B1373" s="213"/>
      <c r="C1373" s="214"/>
      <c r="E1373" s="213"/>
      <c r="F1373" s="214"/>
    </row>
    <row r="1374">
      <c r="B1374" s="213"/>
      <c r="C1374" s="214"/>
      <c r="E1374" s="213"/>
      <c r="F1374" s="214"/>
    </row>
    <row r="1375">
      <c r="B1375" s="213"/>
      <c r="C1375" s="214"/>
      <c r="E1375" s="213"/>
      <c r="F1375" s="214"/>
    </row>
    <row r="1376">
      <c r="B1376" s="213"/>
      <c r="C1376" s="214"/>
      <c r="E1376" s="213"/>
      <c r="F1376" s="214"/>
    </row>
    <row r="1377">
      <c r="B1377" s="213"/>
      <c r="C1377" s="214"/>
      <c r="E1377" s="213"/>
      <c r="F1377" s="214"/>
    </row>
    <row r="1378">
      <c r="B1378" s="213"/>
      <c r="C1378" s="214"/>
      <c r="E1378" s="213"/>
      <c r="F1378" s="214"/>
    </row>
    <row r="1379">
      <c r="B1379" s="213"/>
      <c r="C1379" s="214"/>
      <c r="E1379" s="213"/>
      <c r="F1379" s="214"/>
    </row>
    <row r="1380">
      <c r="B1380" s="213"/>
      <c r="C1380" s="214"/>
      <c r="E1380" s="213"/>
      <c r="F1380" s="214"/>
    </row>
    <row r="1381">
      <c r="B1381" s="213"/>
      <c r="C1381" s="214"/>
      <c r="E1381" s="213"/>
      <c r="F1381" s="214"/>
    </row>
    <row r="1382">
      <c r="B1382" s="213"/>
      <c r="C1382" s="214"/>
      <c r="E1382" s="213"/>
      <c r="F1382" s="214"/>
    </row>
    <row r="1383">
      <c r="B1383" s="213"/>
      <c r="C1383" s="214"/>
      <c r="E1383" s="213"/>
      <c r="F1383" s="214"/>
    </row>
    <row r="1384">
      <c r="B1384" s="213"/>
      <c r="C1384" s="214"/>
      <c r="E1384" s="213"/>
      <c r="F1384" s="214"/>
    </row>
    <row r="1385">
      <c r="B1385" s="213"/>
      <c r="C1385" s="214"/>
      <c r="E1385" s="213"/>
      <c r="F1385" s="214"/>
    </row>
    <row r="1386">
      <c r="B1386" s="213"/>
      <c r="C1386" s="214"/>
      <c r="E1386" s="213"/>
      <c r="F1386" s="214"/>
    </row>
    <row r="1387">
      <c r="B1387" s="213"/>
      <c r="C1387" s="214"/>
      <c r="E1387" s="213"/>
      <c r="F1387" s="214"/>
    </row>
    <row r="1388">
      <c r="B1388" s="213"/>
      <c r="C1388" s="214"/>
      <c r="E1388" s="213"/>
      <c r="F1388" s="214"/>
    </row>
    <row r="1389">
      <c r="B1389" s="213"/>
      <c r="C1389" s="214"/>
      <c r="E1389" s="213"/>
      <c r="F1389" s="214"/>
    </row>
    <row r="1390">
      <c r="B1390" s="213"/>
      <c r="C1390" s="214"/>
      <c r="E1390" s="213"/>
      <c r="F1390" s="214"/>
    </row>
    <row r="1391">
      <c r="B1391" s="213"/>
      <c r="C1391" s="214"/>
      <c r="E1391" s="213"/>
      <c r="F1391" s="214"/>
    </row>
    <row r="1392">
      <c r="B1392" s="213"/>
      <c r="C1392" s="214"/>
      <c r="E1392" s="213"/>
      <c r="F1392" s="214"/>
    </row>
    <row r="1393">
      <c r="B1393" s="213"/>
      <c r="C1393" s="214"/>
      <c r="E1393" s="213"/>
      <c r="F1393" s="214"/>
    </row>
    <row r="1394">
      <c r="B1394" s="213"/>
      <c r="C1394" s="214"/>
      <c r="E1394" s="213"/>
      <c r="F1394" s="214"/>
    </row>
    <row r="1395">
      <c r="B1395" s="213"/>
      <c r="C1395" s="214"/>
      <c r="E1395" s="213"/>
      <c r="F1395" s="214"/>
    </row>
    <row r="1396">
      <c r="B1396" s="213"/>
      <c r="C1396" s="214"/>
      <c r="E1396" s="213"/>
      <c r="F1396" s="214"/>
    </row>
    <row r="1397">
      <c r="B1397" s="213"/>
      <c r="C1397" s="214"/>
      <c r="E1397" s="213"/>
      <c r="F1397" s="214"/>
    </row>
    <row r="1398">
      <c r="B1398" s="213"/>
      <c r="C1398" s="214"/>
      <c r="E1398" s="213"/>
      <c r="F1398" s="214"/>
    </row>
    <row r="1399">
      <c r="B1399" s="213"/>
      <c r="C1399" s="214"/>
      <c r="E1399" s="213"/>
      <c r="F1399" s="214"/>
    </row>
    <row r="1400">
      <c r="B1400" s="213"/>
      <c r="C1400" s="214"/>
      <c r="E1400" s="213"/>
      <c r="F1400" s="214"/>
    </row>
    <row r="1401">
      <c r="B1401" s="213"/>
      <c r="C1401" s="214"/>
      <c r="E1401" s="213"/>
      <c r="F1401" s="214"/>
    </row>
    <row r="1402">
      <c r="B1402" s="213"/>
      <c r="C1402" s="214"/>
      <c r="E1402" s="213"/>
      <c r="F1402" s="214"/>
    </row>
    <row r="1403">
      <c r="B1403" s="213"/>
      <c r="C1403" s="214"/>
      <c r="E1403" s="213"/>
      <c r="F1403" s="214"/>
    </row>
    <row r="1404">
      <c r="B1404" s="213"/>
      <c r="C1404" s="214"/>
      <c r="E1404" s="213"/>
      <c r="F1404" s="214"/>
    </row>
    <row r="1405">
      <c r="B1405" s="213"/>
      <c r="C1405" s="214"/>
      <c r="E1405" s="213"/>
      <c r="F1405" s="214"/>
    </row>
    <row r="1406">
      <c r="B1406" s="213"/>
      <c r="C1406" s="214"/>
      <c r="E1406" s="213"/>
      <c r="F1406" s="214"/>
    </row>
    <row r="1407">
      <c r="B1407" s="213"/>
      <c r="C1407" s="214"/>
      <c r="E1407" s="213"/>
      <c r="F1407" s="214"/>
    </row>
    <row r="1408">
      <c r="B1408" s="213"/>
      <c r="C1408" s="214"/>
      <c r="E1408" s="213"/>
      <c r="F1408" s="214"/>
    </row>
    <row r="1409">
      <c r="B1409" s="213"/>
      <c r="C1409" s="214"/>
      <c r="E1409" s="213"/>
      <c r="F1409" s="214"/>
    </row>
    <row r="1410">
      <c r="B1410" s="213"/>
      <c r="C1410" s="214"/>
      <c r="E1410" s="213"/>
      <c r="F1410" s="214"/>
    </row>
    <row r="1411">
      <c r="B1411" s="213"/>
      <c r="C1411" s="214"/>
      <c r="E1411" s="213"/>
      <c r="F1411" s="214"/>
    </row>
    <row r="1412">
      <c r="B1412" s="213"/>
      <c r="C1412" s="214"/>
      <c r="E1412" s="213"/>
      <c r="F1412" s="214"/>
    </row>
    <row r="1413">
      <c r="B1413" s="213"/>
      <c r="C1413" s="214"/>
      <c r="E1413" s="213"/>
      <c r="F1413" s="214"/>
    </row>
    <row r="1414">
      <c r="B1414" s="213"/>
      <c r="C1414" s="214"/>
      <c r="E1414" s="213"/>
      <c r="F1414" s="214"/>
    </row>
    <row r="1415">
      <c r="B1415" s="213"/>
      <c r="C1415" s="214"/>
      <c r="E1415" s="213"/>
      <c r="F1415" s="214"/>
    </row>
    <row r="1416">
      <c r="B1416" s="213"/>
      <c r="C1416" s="214"/>
      <c r="E1416" s="213"/>
      <c r="F1416" s="214"/>
    </row>
    <row r="1417">
      <c r="B1417" s="213"/>
      <c r="C1417" s="214"/>
      <c r="E1417" s="213"/>
      <c r="F1417" s="214"/>
    </row>
    <row r="1418">
      <c r="B1418" s="213"/>
      <c r="C1418" s="214"/>
      <c r="E1418" s="213"/>
      <c r="F1418" s="214"/>
    </row>
    <row r="1419">
      <c r="B1419" s="213"/>
      <c r="C1419" s="214"/>
      <c r="E1419" s="213"/>
      <c r="F1419" s="214"/>
    </row>
    <row r="1420">
      <c r="B1420" s="213"/>
      <c r="C1420" s="214"/>
      <c r="E1420" s="213"/>
      <c r="F1420" s="214"/>
    </row>
    <row r="1421">
      <c r="B1421" s="213"/>
      <c r="C1421" s="214"/>
      <c r="E1421" s="213"/>
      <c r="F1421" s="214"/>
    </row>
    <row r="1422">
      <c r="B1422" s="213"/>
      <c r="C1422" s="214"/>
      <c r="E1422" s="213"/>
      <c r="F1422" s="214"/>
    </row>
    <row r="1423">
      <c r="B1423" s="213"/>
      <c r="C1423" s="214"/>
      <c r="E1423" s="213"/>
      <c r="F1423" s="214"/>
    </row>
    <row r="1424">
      <c r="B1424" s="213"/>
      <c r="C1424" s="214"/>
      <c r="E1424" s="213"/>
      <c r="F1424" s="214"/>
    </row>
    <row r="1425">
      <c r="B1425" s="213"/>
      <c r="C1425" s="214"/>
      <c r="E1425" s="213"/>
      <c r="F1425" s="214"/>
    </row>
    <row r="1426">
      <c r="B1426" s="213"/>
      <c r="C1426" s="214"/>
      <c r="E1426" s="213"/>
      <c r="F1426" s="214"/>
    </row>
    <row r="1427">
      <c r="B1427" s="213"/>
      <c r="C1427" s="214"/>
      <c r="E1427" s="213"/>
      <c r="F1427" s="214"/>
    </row>
    <row r="1428">
      <c r="B1428" s="213"/>
      <c r="C1428" s="214"/>
      <c r="E1428" s="213"/>
      <c r="F1428" s="214"/>
    </row>
    <row r="1429">
      <c r="B1429" s="213"/>
      <c r="C1429" s="214"/>
      <c r="E1429" s="213"/>
      <c r="F1429" s="214"/>
    </row>
    <row r="1430">
      <c r="B1430" s="213"/>
      <c r="C1430" s="214"/>
      <c r="E1430" s="213"/>
      <c r="F1430" s="214"/>
    </row>
    <row r="1431">
      <c r="B1431" s="213"/>
      <c r="C1431" s="214"/>
      <c r="E1431" s="213"/>
      <c r="F1431" s="214"/>
    </row>
    <row r="1432">
      <c r="B1432" s="213"/>
      <c r="C1432" s="214"/>
      <c r="E1432" s="213"/>
      <c r="F1432" s="214"/>
    </row>
    <row r="1433">
      <c r="B1433" s="213"/>
      <c r="C1433" s="214"/>
      <c r="E1433" s="213"/>
      <c r="F1433" s="214"/>
    </row>
    <row r="1434">
      <c r="B1434" s="213"/>
      <c r="C1434" s="214"/>
      <c r="E1434" s="213"/>
      <c r="F1434" s="214"/>
    </row>
    <row r="1435">
      <c r="B1435" s="213"/>
      <c r="C1435" s="214"/>
      <c r="E1435" s="213"/>
      <c r="F1435" s="214"/>
    </row>
    <row r="1436">
      <c r="B1436" s="213"/>
      <c r="C1436" s="214"/>
      <c r="E1436" s="213"/>
      <c r="F1436" s="214"/>
    </row>
    <row r="1437">
      <c r="B1437" s="213"/>
      <c r="C1437" s="214"/>
      <c r="E1437" s="213"/>
      <c r="F1437" s="214"/>
    </row>
    <row r="1438">
      <c r="B1438" s="213"/>
      <c r="C1438" s="214"/>
      <c r="E1438" s="213"/>
      <c r="F1438" s="214"/>
    </row>
    <row r="1439">
      <c r="B1439" s="213"/>
      <c r="C1439" s="214"/>
      <c r="E1439" s="213"/>
      <c r="F1439" s="214"/>
    </row>
    <row r="1440">
      <c r="B1440" s="213"/>
      <c r="C1440" s="214"/>
      <c r="E1440" s="213"/>
      <c r="F1440" s="214"/>
    </row>
    <row r="1441">
      <c r="B1441" s="213"/>
      <c r="C1441" s="214"/>
      <c r="E1441" s="213"/>
      <c r="F1441" s="214"/>
    </row>
    <row r="1442">
      <c r="B1442" s="213"/>
      <c r="C1442" s="214"/>
      <c r="E1442" s="213"/>
      <c r="F1442" s="214"/>
    </row>
    <row r="1443">
      <c r="B1443" s="213"/>
      <c r="C1443" s="214"/>
      <c r="E1443" s="213"/>
      <c r="F1443" s="214"/>
    </row>
    <row r="1444">
      <c r="B1444" s="213"/>
      <c r="C1444" s="214"/>
      <c r="E1444" s="213"/>
      <c r="F1444" s="214"/>
    </row>
    <row r="1445">
      <c r="B1445" s="213"/>
      <c r="C1445" s="214"/>
      <c r="E1445" s="213"/>
      <c r="F1445" s="214"/>
    </row>
    <row r="1446">
      <c r="B1446" s="213"/>
      <c r="C1446" s="214"/>
      <c r="E1446" s="213"/>
      <c r="F1446" s="214"/>
    </row>
    <row r="1447">
      <c r="B1447" s="213"/>
      <c r="C1447" s="214"/>
      <c r="E1447" s="213"/>
      <c r="F1447" s="214"/>
    </row>
    <row r="1448">
      <c r="B1448" s="213"/>
      <c r="C1448" s="214"/>
      <c r="E1448" s="213"/>
      <c r="F1448" s="214"/>
    </row>
    <row r="1449">
      <c r="B1449" s="213"/>
      <c r="C1449" s="214"/>
      <c r="E1449" s="213"/>
      <c r="F1449" s="214"/>
    </row>
    <row r="1450">
      <c r="B1450" s="213"/>
      <c r="C1450" s="214"/>
      <c r="E1450" s="213"/>
      <c r="F1450" s="214"/>
    </row>
    <row r="1451">
      <c r="B1451" s="213"/>
      <c r="C1451" s="214"/>
      <c r="E1451" s="213"/>
      <c r="F1451" s="214"/>
    </row>
    <row r="1452">
      <c r="B1452" s="213"/>
      <c r="C1452" s="214"/>
      <c r="E1452" s="213"/>
      <c r="F1452" s="214"/>
    </row>
    <row r="1453">
      <c r="B1453" s="213"/>
      <c r="C1453" s="214"/>
      <c r="E1453" s="213"/>
      <c r="F1453" s="214"/>
    </row>
    <row r="1454">
      <c r="B1454" s="213"/>
      <c r="C1454" s="214"/>
      <c r="E1454" s="213"/>
      <c r="F1454" s="214"/>
    </row>
    <row r="1455">
      <c r="B1455" s="213"/>
      <c r="C1455" s="214"/>
      <c r="E1455" s="213"/>
      <c r="F1455" s="214"/>
    </row>
    <row r="1456">
      <c r="B1456" s="213"/>
      <c r="C1456" s="214"/>
      <c r="E1456" s="213"/>
      <c r="F1456" s="214"/>
    </row>
    <row r="1457">
      <c r="B1457" s="213"/>
      <c r="C1457" s="214"/>
      <c r="E1457" s="213"/>
      <c r="F1457" s="214"/>
    </row>
    <row r="1458">
      <c r="B1458" s="213"/>
      <c r="C1458" s="214"/>
      <c r="E1458" s="213"/>
      <c r="F1458" s="214"/>
    </row>
    <row r="1459">
      <c r="B1459" s="213"/>
      <c r="C1459" s="214"/>
      <c r="E1459" s="213"/>
      <c r="F1459" s="214"/>
    </row>
    <row r="1460">
      <c r="B1460" s="213"/>
      <c r="C1460" s="214"/>
      <c r="E1460" s="213"/>
      <c r="F1460" s="214"/>
    </row>
    <row r="1461">
      <c r="B1461" s="213"/>
      <c r="C1461" s="214"/>
      <c r="E1461" s="213"/>
      <c r="F1461" s="214"/>
    </row>
    <row r="1462">
      <c r="B1462" s="213"/>
      <c r="C1462" s="214"/>
      <c r="E1462" s="213"/>
      <c r="F1462" s="214"/>
    </row>
    <row r="1463">
      <c r="B1463" s="213"/>
      <c r="C1463" s="214"/>
      <c r="E1463" s="213"/>
      <c r="F1463" s="214"/>
    </row>
    <row r="1464">
      <c r="B1464" s="213"/>
      <c r="C1464" s="214"/>
      <c r="E1464" s="213"/>
      <c r="F1464" s="214"/>
    </row>
    <row r="1465">
      <c r="B1465" s="213"/>
      <c r="C1465" s="214"/>
      <c r="E1465" s="213"/>
      <c r="F1465" s="214"/>
    </row>
    <row r="1466">
      <c r="B1466" s="213"/>
      <c r="C1466" s="214"/>
      <c r="E1466" s="213"/>
      <c r="F1466" s="214"/>
    </row>
    <row r="1467">
      <c r="B1467" s="213"/>
      <c r="C1467" s="214"/>
      <c r="E1467" s="213"/>
      <c r="F1467" s="214"/>
    </row>
    <row r="1468">
      <c r="B1468" s="213"/>
      <c r="C1468" s="214"/>
      <c r="E1468" s="213"/>
      <c r="F1468" s="214"/>
    </row>
    <row r="1469">
      <c r="B1469" s="213"/>
      <c r="C1469" s="214"/>
      <c r="E1469" s="213"/>
      <c r="F1469" s="214"/>
    </row>
    <row r="1470">
      <c r="B1470" s="213"/>
      <c r="C1470" s="214"/>
      <c r="E1470" s="213"/>
      <c r="F1470" s="214"/>
    </row>
    <row r="1471">
      <c r="B1471" s="213"/>
      <c r="C1471" s="214"/>
      <c r="E1471" s="213"/>
      <c r="F1471" s="214"/>
    </row>
    <row r="1472">
      <c r="B1472" s="213"/>
      <c r="C1472" s="214"/>
      <c r="E1472" s="213"/>
      <c r="F1472" s="214"/>
    </row>
    <row r="1473">
      <c r="B1473" s="213"/>
      <c r="C1473" s="214"/>
      <c r="E1473" s="213"/>
      <c r="F1473" s="214"/>
    </row>
    <row r="1474">
      <c r="B1474" s="213"/>
      <c r="C1474" s="214"/>
      <c r="E1474" s="213"/>
      <c r="F1474" s="214"/>
    </row>
    <row r="1475">
      <c r="B1475" s="213"/>
      <c r="C1475" s="214"/>
      <c r="E1475" s="213"/>
      <c r="F1475" s="214"/>
    </row>
    <row r="1476">
      <c r="B1476" s="213"/>
      <c r="C1476" s="214"/>
      <c r="E1476" s="213"/>
      <c r="F1476" s="214"/>
    </row>
    <row r="1477">
      <c r="B1477" s="213"/>
      <c r="C1477" s="214"/>
      <c r="E1477" s="213"/>
      <c r="F1477" s="214"/>
    </row>
    <row r="1478">
      <c r="B1478" s="213"/>
      <c r="C1478" s="214"/>
      <c r="E1478" s="213"/>
      <c r="F1478" s="214"/>
    </row>
    <row r="1479">
      <c r="B1479" s="213"/>
      <c r="C1479" s="214"/>
      <c r="E1479" s="213"/>
      <c r="F1479" s="214"/>
    </row>
    <row r="1480">
      <c r="B1480" s="213"/>
      <c r="C1480" s="214"/>
      <c r="E1480" s="213"/>
      <c r="F1480" s="214"/>
    </row>
    <row r="1481">
      <c r="B1481" s="213"/>
      <c r="C1481" s="214"/>
      <c r="E1481" s="213"/>
      <c r="F1481" s="214"/>
    </row>
    <row r="1482">
      <c r="B1482" s="213"/>
      <c r="C1482" s="214"/>
      <c r="E1482" s="213"/>
      <c r="F1482" s="214"/>
    </row>
    <row r="1483">
      <c r="B1483" s="213"/>
      <c r="C1483" s="214"/>
      <c r="E1483" s="213"/>
      <c r="F1483" s="214"/>
    </row>
    <row r="1484">
      <c r="B1484" s="213"/>
      <c r="C1484" s="214"/>
      <c r="E1484" s="213"/>
      <c r="F1484" s="214"/>
    </row>
    <row r="1485">
      <c r="B1485" s="213"/>
      <c r="C1485" s="214"/>
      <c r="E1485" s="213"/>
      <c r="F1485" s="214"/>
    </row>
    <row r="1486">
      <c r="B1486" s="213"/>
      <c r="C1486" s="214"/>
      <c r="E1486" s="213"/>
      <c r="F1486" s="214"/>
    </row>
    <row r="1487">
      <c r="B1487" s="213"/>
      <c r="C1487" s="214"/>
      <c r="E1487" s="213"/>
      <c r="F1487" s="214"/>
    </row>
    <row r="1488">
      <c r="B1488" s="213"/>
      <c r="C1488" s="214"/>
      <c r="E1488" s="213"/>
      <c r="F1488" s="214"/>
    </row>
    <row r="1489">
      <c r="B1489" s="213"/>
      <c r="C1489" s="214"/>
      <c r="E1489" s="213"/>
      <c r="F1489" s="214"/>
    </row>
    <row r="1490">
      <c r="B1490" s="213"/>
      <c r="C1490" s="214"/>
      <c r="E1490" s="213"/>
      <c r="F1490" s="214"/>
    </row>
    <row r="1491">
      <c r="B1491" s="213"/>
      <c r="C1491" s="214"/>
      <c r="E1491" s="213"/>
      <c r="F1491" s="214"/>
    </row>
    <row r="1492">
      <c r="B1492" s="213"/>
      <c r="C1492" s="214"/>
      <c r="E1492" s="213"/>
      <c r="F1492" s="214"/>
    </row>
    <row r="1493">
      <c r="B1493" s="213"/>
      <c r="C1493" s="214"/>
      <c r="E1493" s="213"/>
      <c r="F1493" s="214"/>
    </row>
    <row r="1494">
      <c r="B1494" s="213"/>
      <c r="C1494" s="214"/>
      <c r="E1494" s="213"/>
      <c r="F1494" s="214"/>
    </row>
    <row r="1495">
      <c r="B1495" s="213"/>
      <c r="C1495" s="214"/>
      <c r="E1495" s="213"/>
      <c r="F1495" s="214"/>
    </row>
    <row r="1496">
      <c r="B1496" s="213"/>
      <c r="C1496" s="214"/>
      <c r="E1496" s="213"/>
      <c r="F1496" s="214"/>
    </row>
    <row r="1497">
      <c r="B1497" s="213"/>
      <c r="C1497" s="214"/>
      <c r="E1497" s="213"/>
      <c r="F1497" s="214"/>
    </row>
    <row r="1498">
      <c r="B1498" s="213"/>
      <c r="C1498" s="214"/>
      <c r="E1498" s="213"/>
      <c r="F1498" s="214"/>
    </row>
    <row r="1499">
      <c r="B1499" s="213"/>
      <c r="C1499" s="214"/>
      <c r="E1499" s="213"/>
      <c r="F1499" s="214"/>
    </row>
    <row r="1500">
      <c r="B1500" s="213"/>
      <c r="C1500" s="214"/>
      <c r="E1500" s="213"/>
      <c r="F1500" s="214"/>
    </row>
  </sheetData>
  <mergeCells count="20">
    <mergeCell ref="J7:J9"/>
    <mergeCell ref="J11:J13"/>
    <mergeCell ref="I12:I13"/>
    <mergeCell ref="J15:J17"/>
    <mergeCell ref="I16:I17"/>
    <mergeCell ref="I25:J25"/>
    <mergeCell ref="I32:J32"/>
    <mergeCell ref="C13:C15"/>
    <mergeCell ref="B14:B15"/>
    <mergeCell ref="B17:C17"/>
    <mergeCell ref="B18:C19"/>
    <mergeCell ref="B25:C25"/>
    <mergeCell ref="E25:F25"/>
    <mergeCell ref="B2:C2"/>
    <mergeCell ref="E2:G2"/>
    <mergeCell ref="J3:J5"/>
    <mergeCell ref="I4:I5"/>
    <mergeCell ref="I8:I9"/>
    <mergeCell ref="C9:C11"/>
    <mergeCell ref="B10:B11"/>
  </mergeCells>
  <dataValidations>
    <dataValidation type="list" allowBlank="1" showErrorMessage="1" sqref="C7">
      <formula1>"Previsto,Realizado,Ambos"</formula1>
    </dataValidation>
    <dataValidation type="list" allowBlank="1" showErrorMessage="1" sqref="C6">
      <formula1>Tcentrocustos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75"/>
    <col customWidth="1" min="2" max="2" width="12.63"/>
    <col customWidth="1" min="3" max="3" width="25.63"/>
    <col customWidth="1" min="4" max="4" width="17.63"/>
    <col customWidth="1" min="5" max="5" width="4.25"/>
    <col customWidth="1" min="6" max="6" width="29.75"/>
    <col customWidth="1" min="7" max="7" width="1.88"/>
    <col customWidth="1" min="8" max="8" width="14.5"/>
    <col customWidth="1" min="9" max="9" width="18.0"/>
    <col customWidth="1" min="10" max="10" width="13.75"/>
    <col customWidth="1" min="12" max="12" width="15.25"/>
  </cols>
  <sheetData>
    <row r="1" ht="7.5" customHeight="1"/>
    <row r="2" ht="22.5" customHeight="1">
      <c r="B2" s="149"/>
      <c r="C2" s="89" t="s">
        <v>176</v>
      </c>
      <c r="D2" s="83" t="s">
        <v>173</v>
      </c>
      <c r="F2" s="150"/>
    </row>
    <row r="3" ht="22.5" customHeight="1">
      <c r="B3" s="149"/>
      <c r="C3" s="151"/>
      <c r="F3" s="150"/>
    </row>
    <row r="4" ht="22.5" customHeight="1">
      <c r="B4" s="152">
        <f>DAY(TODAY())</f>
        <v>11</v>
      </c>
      <c r="C4" s="153" t="str">
        <f>PROPER(TEXT(MesAtual,"MMMM/yyyy"))</f>
        <v>Agosto/2026</v>
      </c>
      <c r="F4" s="150"/>
    </row>
    <row r="5" ht="23.25" customHeight="1">
      <c r="C5" s="153" t="str">
        <f>VLOOKUP(WEEKDAY(TODAY(),1),X!S1:T7,2,FALSE)</f>
        <v>Terça-Feira</v>
      </c>
      <c r="F5" s="155"/>
    </row>
    <row r="6" ht="22.5" customHeight="1">
      <c r="C6" s="156" t="s">
        <v>204</v>
      </c>
    </row>
    <row r="7" ht="36.0" customHeight="1">
      <c r="B7" s="157" t="s">
        <v>205</v>
      </c>
      <c r="C7" s="159">
        <f>SUM(D38:D52)</f>
        <v>24615</v>
      </c>
    </row>
    <row r="8">
      <c r="B8" s="160"/>
      <c r="C8" s="160"/>
    </row>
    <row r="9" ht="9.75" customHeight="1"/>
    <row r="10" ht="22.5" customHeight="1">
      <c r="B10" s="161"/>
      <c r="C10" s="162" t="s">
        <v>206</v>
      </c>
      <c r="D10" s="162" t="s">
        <v>207</v>
      </c>
      <c r="E10" s="163"/>
      <c r="F10" s="162" t="s">
        <v>207</v>
      </c>
      <c r="H10" s="164"/>
      <c r="I10" s="164"/>
      <c r="J10" s="164"/>
      <c r="K10" s="164"/>
      <c r="L10" s="164"/>
    </row>
    <row r="11" ht="22.5" customHeight="1">
      <c r="B11" s="161"/>
      <c r="C11" s="162" t="s">
        <v>208</v>
      </c>
      <c r="D11" s="162" t="s">
        <v>209</v>
      </c>
      <c r="E11" s="165"/>
      <c r="F11" s="162" t="s">
        <v>210</v>
      </c>
      <c r="H11" s="164"/>
      <c r="I11" s="164"/>
      <c r="J11" s="164"/>
      <c r="K11" s="164"/>
      <c r="L11" s="164"/>
    </row>
    <row r="12" ht="22.5" customHeight="1">
      <c r="B12" s="161"/>
      <c r="C12" s="167">
        <f>SUMIFS(Entradas[Valores],Entradas[Status],"Previsto",Entradas[Data do Recebimento],"="&amp;TODAY(),Entradas[Centro de Custos], IF($D$2="Todos", "&lt;&gt;-", $D$2))</f>
        <v>0</v>
      </c>
      <c r="D12" s="167">
        <f>SUMIFS(Entradas[Valores],Entradas[Status],"Previsto",Entradas[Data do Recebimento],"&gt;="&amp;TODAY(),Entradas[Data do Recebimento],"&lt;"&amp;EDATE(MesAtual,1),Entradas[Centro de Custos], IF($D$2="Todos", "&lt;&gt;-", $D$2))</f>
        <v>0</v>
      </c>
      <c r="E12" s="165"/>
      <c r="F12" s="167">
        <f>SUMIFS(Entradas[Valores],Entradas[Status],"Previsto",Entradas[Centro de Custos], IF($D$2="Todos", "&lt;&gt;-", $D$2))</f>
        <v>16600</v>
      </c>
      <c r="H12" s="164"/>
      <c r="I12" s="164"/>
      <c r="J12" s="164"/>
      <c r="K12" s="164"/>
      <c r="L12" s="164"/>
    </row>
    <row r="13" ht="22.5" customHeight="1">
      <c r="B13" s="169"/>
      <c r="C13" s="170" t="str">
        <f>"Recebimentos em Atraso"&amp;" "&amp;TEXT(SUMIFS(Entradas[Valores],Entradas[Status],"Previsto",Entradas[Data do Recebimento],"&lt;"&amp;TODAY(),Entradas[Centro de Custos], IF($D$2="Todos", "&lt;&gt;-", $D$2)),"R$ 0.0,0")</f>
        <v>Recebimentos em Atraso R$ 16.600,00</v>
      </c>
      <c r="D13" s="169"/>
      <c r="E13" s="169"/>
      <c r="F13" s="169"/>
      <c r="H13" s="164"/>
      <c r="I13" s="164"/>
      <c r="J13" s="164"/>
      <c r="K13" s="164"/>
      <c r="L13" s="164"/>
    </row>
    <row r="14" ht="10.5" customHeight="1">
      <c r="H14" s="164"/>
      <c r="I14" s="164"/>
      <c r="J14" s="164"/>
      <c r="K14" s="164"/>
      <c r="L14" s="164"/>
    </row>
    <row r="15" ht="22.5" customHeight="1">
      <c r="B15" s="171"/>
      <c r="C15" s="172" t="s">
        <v>213</v>
      </c>
      <c r="D15" s="172" t="s">
        <v>214</v>
      </c>
      <c r="E15" s="173"/>
      <c r="F15" s="172" t="s">
        <v>214</v>
      </c>
      <c r="H15" s="164"/>
      <c r="I15" s="164"/>
      <c r="J15" s="164"/>
      <c r="K15" s="164"/>
      <c r="L15" s="164"/>
    </row>
    <row r="16" ht="22.5" customHeight="1">
      <c r="B16" s="171"/>
      <c r="C16" s="172" t="s">
        <v>208</v>
      </c>
      <c r="D16" s="172" t="s">
        <v>209</v>
      </c>
      <c r="E16" s="173"/>
      <c r="F16" s="172" t="s">
        <v>210</v>
      </c>
      <c r="H16" s="164"/>
      <c r="I16" s="164"/>
      <c r="J16" s="164"/>
      <c r="K16" s="164"/>
      <c r="L16" s="164"/>
    </row>
    <row r="17" ht="22.5" customHeight="1">
      <c r="B17" s="171"/>
      <c r="C17" s="176">
        <f>SUMIFS(Saidas[Valores],Saidas[Status],"Previsto",Saidas[Data do Pagamento],"="&amp;TODAY(),Saidas[Centro de Custos], IF($D$2="Todos", "&lt;&gt;-", $D$2))</f>
        <v>0</v>
      </c>
      <c r="D17" s="176">
        <f>SUMIFS(Saidas[Valores],Saidas[Status],"Previsto",Saidas[Data do Pagamento],"&gt;="&amp;TODAY(),Saidas[Data do Pagamento],"&lt;"&amp;EDATE(MesAtual,1),Saidas[Centro de Custos], IF($D$2="Todos", "&lt;&gt;-", $D$2))</f>
        <v>0</v>
      </c>
      <c r="E17" s="173"/>
      <c r="F17" s="176">
        <f>SUMIFS(Saidas[Valores],Saidas[Status],"Previsto",Saidas[Centro de Custos], IF($D$2="Todos", "&lt;&gt;-", $D$2))</f>
        <v>55313</v>
      </c>
      <c r="H17" s="178"/>
      <c r="I17" s="164"/>
      <c r="J17" s="164"/>
      <c r="K17" s="164"/>
      <c r="L17" s="164"/>
    </row>
    <row r="18" ht="22.5" customHeight="1">
      <c r="B18" s="179"/>
      <c r="C18" s="181" t="str">
        <f>"Pagamentos em Atraso"&amp; " "&amp;TEXT(SUMIFS(Saidas[Valores],Saidas[Status],"Previsto",Saidas[Data do Pagamento],"&lt;"&amp;TODAY(),Saidas[Centro de Custos], IF($D$2="Todos", "&lt;&gt;-", $D$2)),"R$ 0.0,0")</f>
        <v>Pagamentos em Atraso R$ 55.313,00</v>
      </c>
      <c r="D18" s="173"/>
      <c r="E18" s="173"/>
      <c r="F18" s="173"/>
      <c r="H18" s="178"/>
      <c r="I18" s="164"/>
      <c r="J18" s="164"/>
      <c r="K18" s="164"/>
      <c r="L18" s="164"/>
    </row>
    <row r="19">
      <c r="H19" s="182"/>
    </row>
    <row r="20">
      <c r="H20" s="182"/>
      <c r="I20" s="183"/>
      <c r="J20" s="184"/>
    </row>
    <row r="21">
      <c r="H21" s="182"/>
      <c r="I21" s="185"/>
      <c r="J21" s="186"/>
    </row>
    <row r="22">
      <c r="H22" s="182"/>
      <c r="I22" s="183"/>
      <c r="J22" s="184"/>
    </row>
    <row r="23">
      <c r="H23" s="182"/>
      <c r="I23" s="185"/>
      <c r="J23" s="186"/>
    </row>
    <row r="37">
      <c r="B37" s="187" t="s">
        <v>6</v>
      </c>
      <c r="C37" s="12"/>
      <c r="D37" s="187" t="s">
        <v>218</v>
      </c>
    </row>
    <row r="38">
      <c r="B38" s="188" t="str">
        <f>IFERROR(__xludf.DUMMYFUNCTION("FILTER(Cadastros!B6:B19,IF(D2=""Todos"",Cadastros!C6:C19&lt;&gt;""-"",Cadastros!C6:C19=D2))"),"Banco Inter")</f>
        <v>Banco Inter</v>
      </c>
      <c r="C38" s="189"/>
      <c r="D38" s="197">
        <f>IFERROR(
  SUMIFS(
    Entradas[Valores],
    Entradas[Conta Financeira], B38,
    Entradas[Status], "Realizado",
    Entradas[Centro de Custos], IF($D$2="Todos", "&lt;&gt;-", $D$2)
  )
  -
  SUMIFS(
    Saidas[Valores],
    Saidas[Conta Financeira], B38,
    Saidas[Status], "Realizado",
    Saidas[Centro de Custos], IF($D$2="Todos", "&lt;&gt;-", $D$2)
  )
  +
  SUMIFS(
    Cadastros!$D$6:$D$19,
    Cadastros!$B$6:$B$19, B38,
    Cadastros!$C$6:$C$19, IF($D$2="Todos", "&lt;&gt;-", $D$2)
  )
  +
  SUMIFS(
    Transferência_Interna[Valor],
    Transferência_Interna[Conta de Destino], B38
  )
  -
  SUMIFS(
    Transferência_Interna[Valor],
    Transferência_Interna[Conta de Origem], B38
  ),
  0
)
</f>
        <v>-44735</v>
      </c>
    </row>
    <row r="39">
      <c r="B39" s="198" t="str">
        <f>IFERROR(__xludf.DUMMYFUNCTION("""COMPUTED_VALUE"""),"Nubank")</f>
        <v>Nubank</v>
      </c>
      <c r="C39" s="199"/>
      <c r="D39" s="197">
        <f>IFERROR(
  SUMIFS(
    Entradas[Valores],
    Entradas[Conta Financeira], B39,
    Entradas[Status], "Realizado",
    Entradas[Centro de Custos], IF($D$2="Todos", "&lt;&gt;-", $D$2)
  )
  -
  SUMIFS(
    Saidas[Valores],
    Saidas[Conta Financeira], B39,
    Saidas[Status], "Realizado",
    Saidas[Centro de Custos], IF($D$2="Todos", "&lt;&gt;-", $D$2)
  )
  +
  SUMIFS(
    Cadastros!$D$6:$D$19,
    Cadastros!$B$6:$B$19, B39,
    Cadastros!$C$6:$C$19, IF($D$2="Todos", "&lt;&gt;-", $D$2)
  )
  +
  SUMIFS(
    Transferência_Interna[Valor],
    Transferência_Interna[Conta de Destino], B39
  )
  -
  SUMIFS(
    Transferência_Interna[Valor],
    Transferência_Interna[Conta de Origem], B39
  ),
  0
)
</f>
        <v>69350</v>
      </c>
    </row>
    <row r="40">
      <c r="B40" s="198"/>
      <c r="C40" s="199"/>
      <c r="D40" s="197">
        <f>IFERROR(
  SUMIFS(
    Entradas[Valores],
    Entradas[Conta Financeira], B40,
    Entradas[Status], "Realizado",
    Entradas[Centro de Custos], IF($D$2="Todos", "&lt;&gt;-", $D$2)
  )
  -
  SUMIFS(
    Saidas[Valores],
    Saidas[Conta Financeira], B40,
    Saidas[Status], "Realizado",
    Saidas[Centro de Custos], IF($D$2="Todos", "&lt;&gt;-", $D$2)
  )
  +
  SUMIFS(
    Cadastros!$D$6:$D$19,
    Cadastros!$B$6:$B$19, B40,
    Cadastros!$C$6:$C$19, IF($D$2="Todos", "&lt;&gt;-", $D$2)
  )
  +
  SUMIFS(
    Transferência_Interna[Valor],
    Transferência_Interna[Conta de Destino], B40
  )
  -
  SUMIFS(
    Transferência_Interna[Valor],
    Transferência_Interna[Conta de Origem], B40
  ),
  0
)
</f>
        <v>0</v>
      </c>
      <c r="I40" s="183"/>
      <c r="J40" s="184"/>
    </row>
    <row r="41">
      <c r="B41" s="198"/>
      <c r="C41" s="199"/>
      <c r="D41" s="197">
        <f>IFERROR(
  SUMIFS(
    Entradas[Valores],
    Entradas[Conta Financeira], B41,
    Entradas[Status], "Realizado",
    Entradas[Centro de Custos], IF($D$2="Todos", "&lt;&gt;-", $D$2)
  )
  -
  SUMIFS(
    Saidas[Valores],
    Saidas[Conta Financeira], B41,
    Saidas[Status], "Realizado",
    Saidas[Centro de Custos], IF($D$2="Todos", "&lt;&gt;-", $D$2)
  )
  +
  SUMIFS(
    Cadastros!$D$6:$D$19,
    Cadastros!$B$6:$B$19, B41,
    Cadastros!$C$6:$C$19, IF($D$2="Todos", "&lt;&gt;-", $D$2)
  )
  +
  SUMIFS(
    Transferência_Interna[Valor],
    Transferência_Interna[Conta de Destino], B41
  )
  -
  SUMIFS(
    Transferência_Interna[Valor],
    Transferência_Interna[Conta de Origem], B41
  ),
  0
)
</f>
        <v>0</v>
      </c>
      <c r="I41" s="215"/>
      <c r="J41" s="216"/>
    </row>
    <row r="42">
      <c r="B42" s="198"/>
      <c r="C42" s="199"/>
      <c r="D42" s="197">
        <f>IFERROR(
  SUMIFS(
    Entradas[Valores],
    Entradas[Conta Financeira], B42,
    Entradas[Status], "Realizado",
    Entradas[Centro de Custos], IF($D$2="Todos", "&lt;&gt;-", $D$2)
  )
  -
  SUMIFS(
    Saidas[Valores],
    Saidas[Conta Financeira], B42,
    Saidas[Status], "Realizado",
    Saidas[Centro de Custos], IF($D$2="Todos", "&lt;&gt;-", $D$2)
  )
  +
  SUMIFS(
    Cadastros!$D$6:$D$19,
    Cadastros!$B$6:$B$19, B42,
    Cadastros!$C$6:$C$19, IF($D$2="Todos", "&lt;&gt;-", $D$2)
  )
  +
  SUMIFS(
    Transferência_Interna[Valor],
    Transferência_Interna[Conta de Destino], B42
  )
  -
  SUMIFS(
    Transferência_Interna[Valor],
    Transferência_Interna[Conta de Origem], B42
  ),
  0
)
</f>
        <v>0</v>
      </c>
    </row>
    <row r="43">
      <c r="B43" s="198"/>
      <c r="C43" s="199"/>
      <c r="D43" s="197">
        <f>IFERROR(
  SUMIFS(
    Entradas[Valores],
    Entradas[Conta Financeira], B43,
    Entradas[Status], "Realizado",
    Entradas[Centro de Custos], IF($D$2="Todos", "&lt;&gt;-", $D$2)
  )
  -
  SUMIFS(
    Saidas[Valores],
    Saidas[Conta Financeira], B43,
    Saidas[Status], "Realizado",
    Saidas[Centro de Custos], IF($D$2="Todos", "&lt;&gt;-", $D$2)
  )
  +
  SUMIFS(
    Cadastros!$D$6:$D$19,
    Cadastros!$B$6:$B$19, B43,
    Cadastros!$C$6:$C$19, IF($D$2="Todos", "&lt;&gt;-", $D$2)
  )
  +
  SUMIFS(
    Transferência_Interna[Valor],
    Transferência_Interna[Conta de Destino], B43
  )
  -
  SUMIFS(
    Transferência_Interna[Valor],
    Transferência_Interna[Conta de Origem], B43
  ),
  0
)
</f>
        <v>0</v>
      </c>
    </row>
    <row r="44">
      <c r="B44" s="198"/>
      <c r="C44" s="199"/>
      <c r="D44" s="197">
        <f>IFERROR(
  SUMIFS(
    Entradas[Valores],
    Entradas[Conta Financeira], B44,
    Entradas[Status], "Realizado",
    Entradas[Centro de Custos], IF($D$2="Todos", "&lt;&gt;-", $D$2)
  )
  -
  SUMIFS(
    Saidas[Valores],
    Saidas[Conta Financeira], B44,
    Saidas[Status], "Realizado",
    Saidas[Centro de Custos], IF($D$2="Todos", "&lt;&gt;-", $D$2)
  )
  +
  SUMIFS(
    Cadastros!$D$6:$D$19,
    Cadastros!$B$6:$B$19, B44,
    Cadastros!$C$6:$C$19, IF($D$2="Todos", "&lt;&gt;-", $D$2)
  )
  +
  SUMIFS(
    Transferência_Interna[Valor],
    Transferência_Interna[Conta de Destino], B44
  )
  -
  SUMIFS(
    Transferência_Interna[Valor],
    Transferência_Interna[Conta de Origem], B44
  ),
  0
)
</f>
        <v>0</v>
      </c>
    </row>
    <row r="45">
      <c r="B45" s="198"/>
      <c r="C45" s="199"/>
      <c r="D45" s="197">
        <f>IFERROR(
  SUMIFS(
    Entradas[Valores],
    Entradas[Conta Financeira], B45,
    Entradas[Status], "Realizado",
    Entradas[Centro de Custos], IF($D$2="Todos", "&lt;&gt;-", $D$2)
  )
  -
  SUMIFS(
    Saidas[Valores],
    Saidas[Conta Financeira], B45,
    Saidas[Status], "Realizado",
    Saidas[Centro de Custos], IF($D$2="Todos", "&lt;&gt;-", $D$2)
  )
  +
  SUMIFS(
    Cadastros!$D$6:$D$19,
    Cadastros!$B$6:$B$19, B45,
    Cadastros!$C$6:$C$19, IF($D$2="Todos", "&lt;&gt;-", $D$2)
  )
  +
  SUMIFS(
    Transferência_Interna[Valor],
    Transferência_Interna[Conta de Destino], B45
  )
  -
  SUMIFS(
    Transferência_Interna[Valor],
    Transferência_Interna[Conta de Origem], B45
  ),
  0
)
</f>
        <v>0</v>
      </c>
    </row>
    <row r="46">
      <c r="B46" s="198"/>
      <c r="C46" s="199"/>
      <c r="D46" s="197">
        <f>IFERROR(
  SUMIFS(
    Entradas[Valores],
    Entradas[Conta Financeira], B46,
    Entradas[Status], "Realizado",
    Entradas[Centro de Custos], IF($D$2="Todos", "&lt;&gt;-", $D$2)
  )
  -
  SUMIFS(
    Saidas[Valores],
    Saidas[Conta Financeira], B46,
    Saidas[Status], "Realizado",
    Saidas[Centro de Custos], IF($D$2="Todos", "&lt;&gt;-", $D$2)
  )
  +
  SUMIFS(
    Cadastros!$D$6:$D$19,
    Cadastros!$B$6:$B$19, B46,
    Cadastros!$C$6:$C$19, IF($D$2="Todos", "&lt;&gt;-", $D$2)
  )
  +
  SUMIFS(
    Transferência_Interna[Valor],
    Transferência_Interna[Conta de Destino], B46
  )
  -
  SUMIFS(
    Transferência_Interna[Valor],
    Transferência_Interna[Conta de Origem], B46
  ),
  0
)
</f>
        <v>0</v>
      </c>
    </row>
    <row r="47">
      <c r="B47" s="198"/>
      <c r="C47" s="199"/>
      <c r="D47" s="197">
        <f>IFERROR(
  SUMIFS(
    Entradas[Valores],
    Entradas[Conta Financeira], B47,
    Entradas[Status], "Realizado",
    Entradas[Centro de Custos], IF($D$2="Todos", "&lt;&gt;-", $D$2)
  )
  -
  SUMIFS(
    Saidas[Valores],
    Saidas[Conta Financeira], B47,
    Saidas[Status], "Realizado",
    Saidas[Centro de Custos], IF($D$2="Todos", "&lt;&gt;-", $D$2)
  )
  +
  SUMIFS(
    Cadastros!$D$6:$D$19,
    Cadastros!$B$6:$B$19, B47,
    Cadastros!$C$6:$C$19, IF($D$2="Todos", "&lt;&gt;-", $D$2)
  )
  +
  SUMIFS(
    Transferência_Interna[Valor],
    Transferência_Interna[Conta de Destino], B47
  )
  -
  SUMIFS(
    Transferência_Interna[Valor],
    Transferência_Interna[Conta de Origem], B47
  ),
  0
)
</f>
        <v>0</v>
      </c>
    </row>
    <row r="48">
      <c r="B48" s="198"/>
      <c r="C48" s="199"/>
      <c r="D48" s="197">
        <f>IFERROR(
  SUMIFS(
    Entradas[Valores],
    Entradas[Conta Financeira], B48,
    Entradas[Status], "Realizado",
    Entradas[Centro de Custos], IF($D$2="Todos", "&lt;&gt;-", $D$2)
  )
  -
  SUMIFS(
    Saidas[Valores],
    Saidas[Conta Financeira], B48,
    Saidas[Status], "Realizado",
    Saidas[Centro de Custos], IF($D$2="Todos", "&lt;&gt;-", $D$2)
  )
  +
  SUMIFS(
    Cadastros!$D$6:$D$19,
    Cadastros!$B$6:$B$19, B48,
    Cadastros!$C$6:$C$19, IF($D$2="Todos", "&lt;&gt;-", $D$2)
  )
  +
  SUMIFS(
    Transferência_Interna[Valor],
    Transferência_Interna[Conta de Destino], B48
  )
  -
  SUMIFS(
    Transferência_Interna[Valor],
    Transferência_Interna[Conta de Origem], B48
  ),
  0
)
</f>
        <v>0</v>
      </c>
    </row>
    <row r="49">
      <c r="B49" s="198"/>
      <c r="C49" s="199"/>
      <c r="D49" s="197">
        <f>IFERROR(
  SUMIFS(
    Entradas[Valores],
    Entradas[Conta Financeira], B49,
    Entradas[Status], "Realizado",
    Entradas[Centro de Custos], IF($D$2="Todos", "&lt;&gt;-", $D$2)
  )
  -
  SUMIFS(
    Saidas[Valores],
    Saidas[Conta Financeira], B49,
    Saidas[Status], "Realizado",
    Saidas[Centro de Custos], IF($D$2="Todos", "&lt;&gt;-", $D$2)
  )
  +
  SUMIFS(
    Cadastros!$D$6:$D$19,
    Cadastros!$B$6:$B$19, B49,
    Cadastros!$C$6:$C$19, IF($D$2="Todos", "&lt;&gt;-", $D$2)
  )
  +
  SUMIFS(
    Transferência_Interna[Valor],
    Transferência_Interna[Conta de Destino], B49
  )
  -
  SUMIFS(
    Transferência_Interna[Valor],
    Transferência_Interna[Conta de Origem], B49
  ),
  0
)
</f>
        <v>0</v>
      </c>
    </row>
    <row r="50">
      <c r="B50" s="198"/>
      <c r="C50" s="199"/>
      <c r="D50" s="197">
        <f>IFERROR(
  SUMIFS(
    Entradas[Valores],
    Entradas[Conta Financeira], B50,
    Entradas[Status], "Realizado",
    Entradas[Centro de Custos], IF($D$2="Todos", "&lt;&gt;-", $D$2)
  )
  -
  SUMIFS(
    Saidas[Valores],
    Saidas[Conta Financeira], B50,
    Saidas[Status], "Realizado",
    Saidas[Centro de Custos], IF($D$2="Todos", "&lt;&gt;-", $D$2)
  )
  +
  SUMIFS(
    Cadastros!$D$6:$D$19,
    Cadastros!$B$6:$B$19, B50,
    Cadastros!$C$6:$C$19, IF($D$2="Todos", "&lt;&gt;-", $D$2)
  )
  +
  SUMIFS(
    Transferência_Interna[Valor],
    Transferência_Interna[Conta de Destino], B50
  )
  -
  SUMIFS(
    Transferência_Interna[Valor],
    Transferência_Interna[Conta de Origem], B50
  ),
  0
)
</f>
        <v>0</v>
      </c>
    </row>
    <row r="51">
      <c r="B51" s="198"/>
      <c r="C51" s="199"/>
      <c r="D51" s="197">
        <f>IFERROR(
  SUMIFS(
    Entradas[Valores],
    Entradas[Conta Financeira], B51,
    Entradas[Status], "Realizado",
    Entradas[Centro de Custos], IF($D$2="Todos", "&lt;&gt;-", $D$2)
  )
  -
  SUMIFS(
    Saidas[Valores],
    Saidas[Conta Financeira], B51,
    Saidas[Status], "Realizado",
    Saidas[Centro de Custos], IF($D$2="Todos", "&lt;&gt;-", $D$2)
  )
  +
  SUMIFS(
    Cadastros!$D$6:$D$19,
    Cadastros!$B$6:$B$19, B51,
    Cadastros!$C$6:$C$19, IF($D$2="Todos", "&lt;&gt;-", $D$2)
  )
  +
  SUMIFS(
    Transferência_Interna[Valor],
    Transferência_Interna[Conta de Destino], B51
  )
  -
  SUMIFS(
    Transferência_Interna[Valor],
    Transferência_Interna[Conta de Origem], B51
  ),
  0
)
</f>
        <v>0</v>
      </c>
    </row>
    <row r="52">
      <c r="B52" s="259"/>
      <c r="C52" s="260"/>
      <c r="D52" s="197">
        <f>IFERROR(
  SUMIFS(
    Entradas[Valores],
    Entradas[Conta Financeira], B52,
    Entradas[Status], "Realizado",
    Entradas[Centro de Custos], IF($D$2="Todos", "&lt;&gt;-", $D$2)
  )
  -
  SUMIFS(
    Saidas[Valores],
    Saidas[Conta Financeira], B52,
    Saidas[Status], "Realizado",
    Saidas[Centro de Custos], IF($D$2="Todos", "&lt;&gt;-", $D$2)
  )
  +
  SUMIFS(
    Cadastros!$D$6:$D$19,
    Cadastros!$B$6:$B$19, B52,
    Cadastros!$C$6:$C$19, IF($D$2="Todos", "&lt;&gt;-", $D$2)
  )
  +
  SUMIFS(
    Transferência_Interna[Valor],
    Transferência_Interna[Conta de Destino], B52
  )
  -
  SUMIFS(
    Transferência_Interna[Valor],
    Transferência_Interna[Conta de Origem], B52
  ),
  0
)
</f>
        <v>0</v>
      </c>
    </row>
  </sheetData>
  <mergeCells count="2">
    <mergeCell ref="B4:B6"/>
    <mergeCell ref="B37:C37"/>
  </mergeCells>
  <dataValidations>
    <dataValidation type="list" allowBlank="1" showErrorMessage="1" sqref="D2">
      <formula1>Tcentrocustos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75"/>
    <col customWidth="1" min="2" max="2" width="13.0"/>
    <col customWidth="1" min="3" max="3" width="25.63"/>
    <col customWidth="1" min="4" max="4" width="2.13"/>
    <col customWidth="1" min="5" max="5" width="17.63"/>
    <col customWidth="1" min="6" max="6" width="2.0"/>
    <col customWidth="1" hidden="1" min="7" max="7" width="21.38"/>
    <col customWidth="1" hidden="1" min="8" max="8" width="1.88"/>
    <col customWidth="1" hidden="1" min="9" max="9" width="14.5"/>
    <col customWidth="1" hidden="1" min="10" max="10" width="18.0"/>
    <col customWidth="1" hidden="1" min="11" max="11" width="13.75"/>
    <col hidden="1" min="12" max="12" width="12.63"/>
    <col customWidth="1" hidden="1" min="13" max="13" width="15.25"/>
    <col hidden="1" min="14" max="24" width="12.63"/>
  </cols>
  <sheetData>
    <row r="1" ht="7.5" customHeight="1"/>
    <row r="2" ht="22.5" customHeight="1">
      <c r="B2" s="152">
        <f>DAY(TODAY())</f>
        <v>11</v>
      </c>
      <c r="C2" s="220"/>
      <c r="G2" s="221"/>
    </row>
    <row r="3" ht="23.25" customHeight="1">
      <c r="C3" s="222" t="s">
        <v>204</v>
      </c>
      <c r="G3" s="221"/>
    </row>
    <row r="4" ht="22.5" customHeight="1">
      <c r="B4" s="223" t="str">
        <f>PROPER(TEXT(MesAtual,"MMMM"))</f>
        <v>Agosto</v>
      </c>
      <c r="C4" s="224">
        <f>SUM(D93:D106)</f>
        <v>24615</v>
      </c>
      <c r="G4" s="221"/>
    </row>
    <row r="5" ht="22.5" customHeight="1">
      <c r="B5" s="223" t="str">
        <f>PROPER(TEXT(MesAtual,"YYYY"))</f>
        <v>2026</v>
      </c>
      <c r="G5" s="221"/>
    </row>
    <row r="6" ht="9.75" customHeight="1">
      <c r="E6" s="225"/>
    </row>
    <row r="7" ht="22.5" customHeight="1">
      <c r="B7" s="161"/>
      <c r="C7" s="162" t="s">
        <v>206</v>
      </c>
      <c r="D7" s="162" t="s">
        <v>207</v>
      </c>
      <c r="F7" s="226"/>
      <c r="G7" s="227"/>
    </row>
    <row r="8" ht="22.5" customHeight="1">
      <c r="B8" s="161"/>
      <c r="C8" s="162" t="s">
        <v>208</v>
      </c>
      <c r="D8" s="162" t="s">
        <v>209</v>
      </c>
      <c r="F8" s="228"/>
      <c r="G8" s="227"/>
    </row>
    <row r="9" ht="22.5" customHeight="1">
      <c r="B9" s="161"/>
      <c r="C9" s="167">
        <f>SUMIFS(Entradas[Valores],Entradas[Status],"Previsto",Entradas[Data do Recebimento],"="&amp;TODAY())</f>
        <v>0</v>
      </c>
      <c r="D9" s="167">
        <f>SUMIFS(Entradas[Valores],Entradas[Status],"Previsto",Entradas[Data do Recebimento],"&gt;="&amp;TODAY(),Entradas[Data do Recebimento],"&lt;"&amp;EDATE(MesAtual,1))</f>
        <v>0</v>
      </c>
      <c r="F9" s="228"/>
      <c r="G9" s="229"/>
    </row>
    <row r="10" ht="22.5" customHeight="1">
      <c r="B10" s="230" t="str">
        <f>"Recebimentos em Atraso"&amp;" "&amp;TEXT(SUMIFS(Entradas[Valores],Entradas[Status],"Previsto",Entradas[Data do Recebimento],"&lt;"&amp;TODAY()),"R$ 0.0,0")</f>
        <v>Recebimentos em Atraso R$ 16.600,00</v>
      </c>
      <c r="C10" s="170"/>
      <c r="D10" s="169"/>
      <c r="E10" s="169"/>
      <c r="F10" s="231"/>
      <c r="G10" s="231"/>
    </row>
    <row r="11" ht="10.5" customHeight="1"/>
    <row r="12" ht="22.5" customHeight="1">
      <c r="B12" s="171"/>
      <c r="C12" s="172" t="s">
        <v>213</v>
      </c>
      <c r="D12" s="172" t="s">
        <v>214</v>
      </c>
      <c r="F12" s="226"/>
      <c r="G12" s="227" t="s">
        <v>214</v>
      </c>
    </row>
    <row r="13" ht="22.5" customHeight="1">
      <c r="B13" s="171"/>
      <c r="C13" s="172" t="s">
        <v>208</v>
      </c>
      <c r="D13" s="172" t="s">
        <v>209</v>
      </c>
      <c r="F13" s="226"/>
      <c r="G13" s="227" t="s">
        <v>210</v>
      </c>
    </row>
    <row r="14" ht="22.5" customHeight="1">
      <c r="B14" s="171"/>
      <c r="C14" s="176">
        <f>SUMIFS(Saidas[Valores],Saidas[Status],"Previsto",Saidas[Data do Pagamento],"="&amp;TODAY())</f>
        <v>0</v>
      </c>
      <c r="D14" s="176">
        <f>SUMIFS(Saidas[Valores],Saidas[Status],"Previsto",Saidas[Data do Pagamento],"&gt;="&amp;TODAY(),Saidas[Data do Pagamento],"&lt;"&amp;EDATE(MesAtual,1))</f>
        <v>0</v>
      </c>
      <c r="F14" s="226"/>
      <c r="G14" s="229">
        <f>SUMIFS(Saidas[Valores],Saidas[Status],"Previsto")</f>
        <v>55313</v>
      </c>
      <c r="I14" s="182"/>
    </row>
    <row r="15" ht="22.5" customHeight="1">
      <c r="B15" s="232" t="str">
        <f>"Pagamentos em Atraso"&amp; " "&amp;TEXT(SUMIFS(Saidas[Valores],Saidas[Status],"Previsto",Saidas[Data do Pagamento],"&lt;"&amp;TODAY()),"R$ 0.0,0")</f>
        <v>Pagamentos em Atraso R$ 55.313,00</v>
      </c>
      <c r="C15" s="181"/>
      <c r="D15" s="173"/>
      <c r="E15" s="173"/>
      <c r="F15" s="226"/>
      <c r="G15" s="226"/>
      <c r="I15" s="182"/>
    </row>
    <row r="16">
      <c r="I16" s="182"/>
    </row>
    <row r="17">
      <c r="I17" s="182"/>
      <c r="J17" s="183"/>
      <c r="K17" s="184"/>
    </row>
    <row r="18">
      <c r="I18" s="182"/>
      <c r="J18" s="185"/>
      <c r="K18" s="186"/>
    </row>
    <row r="19">
      <c r="I19" s="182"/>
      <c r="J19" s="183"/>
      <c r="K19" s="184"/>
    </row>
    <row r="20">
      <c r="I20" s="182"/>
      <c r="J20" s="185"/>
      <c r="K20" s="186"/>
    </row>
    <row r="37">
      <c r="J37" s="215"/>
      <c r="K37" s="216"/>
    </row>
    <row r="41">
      <c r="F41" s="233"/>
    </row>
    <row r="42">
      <c r="F42" s="234"/>
      <c r="G42" s="235"/>
    </row>
    <row r="43">
      <c r="F43" s="236"/>
      <c r="G43" s="235"/>
    </row>
    <row r="44">
      <c r="F44" s="237"/>
      <c r="G44" s="235"/>
    </row>
    <row r="45">
      <c r="F45" s="238"/>
      <c r="G45" s="235"/>
    </row>
    <row r="46">
      <c r="F46" s="238"/>
      <c r="G46" s="235"/>
    </row>
    <row r="47">
      <c r="F47" s="237"/>
      <c r="G47" s="235"/>
    </row>
    <row r="48">
      <c r="F48" s="238"/>
      <c r="G48" s="235"/>
    </row>
    <row r="49">
      <c r="F49" s="237"/>
      <c r="G49" s="235"/>
    </row>
    <row r="50">
      <c r="F50" s="238"/>
      <c r="G50" s="235"/>
    </row>
    <row r="51">
      <c r="F51" s="238"/>
      <c r="G51" s="235"/>
    </row>
    <row r="52">
      <c r="F52" s="238"/>
      <c r="G52" s="235"/>
    </row>
    <row r="53">
      <c r="F53" s="238"/>
      <c r="G53" s="235"/>
    </row>
    <row r="54">
      <c r="F54" s="237"/>
      <c r="G54" s="235"/>
    </row>
    <row r="55">
      <c r="F55" s="238"/>
      <c r="G55" s="235"/>
    </row>
    <row r="56">
      <c r="F56" s="238"/>
      <c r="G56" s="235"/>
    </row>
    <row r="57">
      <c r="F57" s="238"/>
      <c r="G57" s="235"/>
    </row>
    <row r="58">
      <c r="F58" s="238"/>
      <c r="G58" s="235"/>
    </row>
    <row r="59">
      <c r="F59" s="237"/>
      <c r="G59" s="235"/>
    </row>
    <row r="60">
      <c r="F60" s="238"/>
      <c r="G60" s="235"/>
    </row>
    <row r="61">
      <c r="F61" s="239"/>
      <c r="G61" s="240"/>
    </row>
    <row r="69">
      <c r="B69" s="17" t="s">
        <v>226</v>
      </c>
      <c r="C69" s="12"/>
      <c r="D69" s="12"/>
      <c r="E69" s="12"/>
    </row>
    <row r="70">
      <c r="B70" s="241" t="str">
        <f>X!$V$2</f>
        <v>Receitas Operacionais</v>
      </c>
      <c r="C70" s="242"/>
      <c r="D70" s="243">
        <f>SUMIFS(Entradas[Valores],Entradas[Data da Competência],"&gt;="&amp;MesAtual,Entradas[Data da Competência],"&lt;"&amp;EDATE(MesAtual,1),Entradas[Categoria],$B70)</f>
        <v>0</v>
      </c>
      <c r="E70" s="242"/>
    </row>
    <row r="71">
      <c r="B71" s="244" t="str">
        <f>X!$V$3</f>
        <v>Outras Receitas Operacionais</v>
      </c>
      <c r="C71" s="245"/>
      <c r="D71" s="246">
        <f>SUMIFS(Entradas[Valores],Entradas[Data da Competência],"&gt;="&amp;MesAtual,Entradas[Data da Competência],"&lt;"&amp;EDATE(MesAtual,1),Entradas[Categoria],$B71)</f>
        <v>0</v>
      </c>
      <c r="E71" s="247"/>
    </row>
    <row r="72">
      <c r="B72" s="248" t="s">
        <v>199</v>
      </c>
      <c r="C72" s="249"/>
      <c r="D72" s="250">
        <f>D70+D71</f>
        <v>0</v>
      </c>
      <c r="E72" s="251"/>
    </row>
    <row r="73">
      <c r="B73" s="241" t="str">
        <f>#REF!</f>
        <v>#REF!</v>
      </c>
      <c r="C73" s="242"/>
      <c r="D73" s="243">
        <f>SUMIFS(Saidas[Valores],Saidas[Data da Competência],"&gt;="&amp;MesAtual,Saidas[Data da Competência],"&lt;"&amp;EDATE(MesAtual,1),Saidas[Categoria],$B73)</f>
        <v>0</v>
      </c>
      <c r="E73" s="242"/>
    </row>
    <row r="74">
      <c r="B74" s="244" t="str">
        <f>X!$V$6</f>
        <v>Deduções sobre vendas</v>
      </c>
      <c r="C74" s="245"/>
      <c r="D74" s="246">
        <f>SUMIFS(Saidas[Valores],Saidas[Data da Competência],"&gt;="&amp;MesAtual,Saidas[Data da Competência],"&lt;"&amp;EDATE(MesAtual,1),Saidas[Categoria],$B74)</f>
        <v>0</v>
      </c>
      <c r="E74" s="247"/>
    </row>
    <row r="75">
      <c r="B75" s="248" t="s">
        <v>201</v>
      </c>
      <c r="C75" s="249"/>
      <c r="D75" s="250">
        <f>D72-D73-D74</f>
        <v>0</v>
      </c>
      <c r="E75" s="251"/>
    </row>
    <row r="76">
      <c r="B76" s="241" t="str">
        <f>X!$V$7</f>
        <v>Custo das Vendas</v>
      </c>
      <c r="C76" s="242"/>
      <c r="D76" s="243">
        <f>SUMIFS(Saidas[Valores],Saidas[Data da Competência],"&gt;="&amp;MesAtual,Saidas[Data da Competência],"&lt;"&amp;EDATE(MesAtual,1),Saidas[Categoria],$B76)</f>
        <v>0</v>
      </c>
      <c r="E76" s="242"/>
    </row>
    <row r="77">
      <c r="B77" s="252" t="s">
        <v>203</v>
      </c>
      <c r="C77" s="253"/>
      <c r="D77" s="254">
        <f>D75-D76</f>
        <v>0</v>
      </c>
      <c r="E77" s="255"/>
    </row>
    <row r="78">
      <c r="B78" s="244" t="str">
        <f>X!$V$8</f>
        <v>Despesas administrativas</v>
      </c>
      <c r="C78" s="245"/>
      <c r="D78" s="243">
        <f>SUMIFS(Saidas[Valores],Saidas[Data da Competência],"&gt;="&amp;MesAtual,Saidas[Data da Competência],"&lt;"&amp;EDATE(MesAtual,1),Saidas[Categoria],$B78)</f>
        <v>0</v>
      </c>
      <c r="E78" s="242"/>
    </row>
    <row r="79">
      <c r="B79" s="244" t="str">
        <f>X!$V$9</f>
        <v>Despesa com Pessoal</v>
      </c>
      <c r="C79" s="245"/>
      <c r="D79" s="256">
        <f>SUMIFS(Saidas[Valores],Saidas[Data da Competência],"&gt;="&amp;MesAtual,Saidas[Data da Competência],"&lt;"&amp;EDATE(MesAtual,1),Saidas[Categoria],$B79)</f>
        <v>0</v>
      </c>
      <c r="E79" s="245"/>
    </row>
    <row r="80">
      <c r="B80" s="244" t="str">
        <f>X!$V$11</f>
        <v>Despesa Financeira</v>
      </c>
      <c r="C80" s="245"/>
      <c r="D80" s="256">
        <f>SUMIFS(Saidas[Valores],Saidas[Data da Competência],"&gt;="&amp;MesAtual,Saidas[Data da Competência],"&lt;"&amp;EDATE(MesAtual,1),Saidas[Categoria],$B80)</f>
        <v>0</v>
      </c>
      <c r="E80" s="245"/>
    </row>
    <row r="81">
      <c r="B81" s="244" t="str">
        <f>X!$V$12</f>
        <v>Despesas não operacionais</v>
      </c>
      <c r="C81" s="245"/>
      <c r="D81" s="256">
        <f>SUMIFS(Saidas[Valores],Saidas[Data da Competência],"&gt;="&amp;MesAtual,Saidas[Data da Competência],"&lt;"&amp;EDATE(MesAtual,1),Saidas[Categoria],$B81)</f>
        <v>0</v>
      </c>
      <c r="E81" s="245"/>
    </row>
    <row r="82">
      <c r="B82" s="248" t="s">
        <v>215</v>
      </c>
      <c r="C82" s="249"/>
      <c r="D82" s="257"/>
      <c r="E82" s="258">
        <f>D77-D78-D79-D80-D81</f>
        <v>0</v>
      </c>
    </row>
    <row r="83">
      <c r="B83" s="241" t="str">
        <f>X!$V$4</f>
        <v>Receitas Financeiras</v>
      </c>
      <c r="C83" s="242"/>
      <c r="D83" s="256">
        <f>SUMIFS(Entradas[Valores],Entradas[Data da Competência],"&gt;="&amp;MesAtual,Entradas[Data da Competência],"&lt;"&amp;EDATE(MesAtual,1),Entradas[Categoria],$B83)</f>
        <v>0</v>
      </c>
      <c r="E83" s="245"/>
    </row>
    <row r="84">
      <c r="B84" s="244" t="str">
        <f>X!$V$13</f>
        <v>Impostos</v>
      </c>
      <c r="C84" s="245"/>
      <c r="D84" s="256">
        <f>SUMIFS(Saidas[Valores],Saidas[Data da Competência],"&gt;="&amp;MesAtual,Saidas[Data da Competência],"&lt;"&amp;EDATE(MesAtual,1),Saidas[Categoria],$B84)</f>
        <v>0</v>
      </c>
      <c r="E84" s="245"/>
    </row>
    <row r="85">
      <c r="B85" s="244" t="str">
        <f>X!$V$5</f>
        <v>Receitas não operacionais</v>
      </c>
      <c r="C85" s="245"/>
      <c r="D85" s="256">
        <f>SUMIFS(Entradas[Valores],Entradas[Data da Competência],"&gt;="&amp;MesAtual,Entradas[Data da Competência],"&lt;"&amp;EDATE(MesAtual,1),Entradas[Categoria],$B85)</f>
        <v>0</v>
      </c>
      <c r="E85" s="245"/>
    </row>
    <row r="86">
      <c r="B86" s="244" t="str">
        <f>X!$V$14</f>
        <v>Participação e Dividendos</v>
      </c>
      <c r="C86" s="245"/>
      <c r="D86" s="246">
        <f>SUMIFS(Saidas[Valores],Saidas[Data da Competência],"&gt;="&amp;MesAtual,Saidas[Data da Competência],"&lt;"&amp;EDATE(MesAtual,1),Saidas[Categoria],$B86)</f>
        <v>0</v>
      </c>
      <c r="E86" s="247"/>
    </row>
    <row r="87">
      <c r="B87" s="248" t="s">
        <v>219</v>
      </c>
      <c r="C87" s="249"/>
      <c r="D87" s="250">
        <f>E82+D83-D84+D85-D86</f>
        <v>0</v>
      </c>
      <c r="E87" s="251"/>
    </row>
    <row r="88">
      <c r="B88" s="241" t="str">
        <f>X!$V$15</f>
        <v/>
      </c>
      <c r="C88" s="242"/>
      <c r="D88" s="243">
        <f>SUMIFS(Saidas[Valores],Saidas[Data da Competência],"&gt;="&amp;MesAtual,Saidas[Data da Competência],"&lt;"&amp;EDATE(MesAtual,1),Saidas[Categoria],$B88)</f>
        <v>0</v>
      </c>
      <c r="E88" s="242"/>
    </row>
    <row r="89">
      <c r="B89" s="261" t="s">
        <v>220</v>
      </c>
      <c r="C89" s="262"/>
      <c r="D89" s="263">
        <f>D87-D88</f>
        <v>0</v>
      </c>
      <c r="E89" s="245"/>
    </row>
    <row r="92">
      <c r="B92" s="187" t="s">
        <v>6</v>
      </c>
      <c r="C92" s="12"/>
      <c r="D92" s="187"/>
      <c r="E92" s="187" t="s">
        <v>218</v>
      </c>
    </row>
    <row r="93">
      <c r="B93" s="264" t="str">
        <f t="array" ref="B93:B106">bancos</f>
        <v>Banco Inter</v>
      </c>
      <c r="C93" s="264"/>
      <c r="D93" s="265">
        <f>SUMIFS(Entradas[Valores],Entradas[Conta Financeira],B93,Entradas[Status],"Realizado")-SUMIFS(Saidas[Valores],Saidas[Conta Financeira],B93,Saidas[Status],"Realizado")+SUMIFS(Cadastros!$D$6:$D$19,Cadastros!$B$6:$B$19,B93)+SUMIFS(Transferência_Interna[Valor],Transferência_Interna[Conta de Destino],B93)-SUMIFS(Transferência_Interna[Valor],Transferência_Interna[Conta de Origem],B93)</f>
        <v>-44735</v>
      </c>
      <c r="E93" s="266"/>
    </row>
    <row r="94">
      <c r="B94" s="267" t="s">
        <v>73</v>
      </c>
      <c r="C94" s="267"/>
      <c r="D94" s="265">
        <f>SUMIFS(Entradas[Valores],Entradas[Conta Financeira],B94,Entradas[Status],"Realizado")-SUMIFS(Saidas[Valores],Saidas[Conta Financeira],B94,Saidas[Status],"Realizado")+SUMIFS(Cadastros!$D$6:$D$19,Cadastros!$B$6:$B$19,B94)+SUMIFS(Transferência_Interna[Valor],Transferência_Interna[Conta de Destino],B94)-SUMIFS(Transferência_Interna[Valor],Transferência_Interna[Conta de Origem],B94)</f>
        <v>69350</v>
      </c>
      <c r="E94" s="266"/>
    </row>
    <row r="95">
      <c r="B95" s="267"/>
      <c r="C95" s="267"/>
      <c r="D95" s="265">
        <f>SUMIFS(Entradas[Valores],Entradas[Conta Financeira],B95,Entradas[Status],"Realizado")-SUMIFS(Saidas[Valores],Saidas[Conta Financeira],B95,Saidas[Status],"Realizado")+SUMIFS(Cadastros!$D$6:$D$19,Cadastros!$B$6:$B$19,B95)+SUMIFS(Transferência_Interna[Valor],Transferência_Interna[Conta de Destino],B95)-SUMIFS(Transferência_Interna[Valor],Transferência_Interna[Conta de Origem],B95)</f>
        <v>0</v>
      </c>
      <c r="E95" s="266"/>
    </row>
    <row r="96">
      <c r="B96" s="267"/>
      <c r="C96" s="267"/>
      <c r="D96" s="265">
        <f>SUMIFS(Entradas[Valores],Entradas[Conta Financeira],B96,Entradas[Status],"Realizado")-SUMIFS(Saidas[Valores],Saidas[Conta Financeira],B96,Saidas[Status],"Realizado")+SUMIFS(Cadastros!$D$6:$D$19,Cadastros!$B$6:$B$19,B96)+SUMIFS(Transferência_Interna[Valor],Transferência_Interna[Conta de Destino],B96)-SUMIFS(Transferência_Interna[Valor],Transferência_Interna[Conta de Origem],B96)</f>
        <v>0</v>
      </c>
      <c r="E96" s="266"/>
    </row>
    <row r="97">
      <c r="B97" s="267"/>
      <c r="C97" s="267"/>
      <c r="D97" s="265">
        <f>SUMIFS(Entradas[Valores],Entradas[Conta Financeira],B97,Entradas[Status],"Realizado")-SUMIFS(Saidas[Valores],Saidas[Conta Financeira],B97,Saidas[Status],"Realizado")+SUMIFS(Cadastros!$D$6:$D$19,Cadastros!$B$6:$B$19,B97)+SUMIFS(Transferência_Interna[Valor],Transferência_Interna[Conta de Destino],B97)-SUMIFS(Transferência_Interna[Valor],Transferência_Interna[Conta de Origem],B97)</f>
        <v>0</v>
      </c>
      <c r="E97" s="266"/>
    </row>
    <row r="98">
      <c r="B98" s="267"/>
      <c r="C98" s="267"/>
      <c r="D98" s="265">
        <f>SUMIFS(Entradas[Valores],Entradas[Conta Financeira],B98,Entradas[Status],"Realizado")-SUMIFS(Saidas[Valores],Saidas[Conta Financeira],B98,Saidas[Status],"Realizado")+SUMIFS(Cadastros!$D$6:$D$19,Cadastros!$B$6:$B$19,B98)+SUMIFS(Transferência_Interna[Valor],Transferência_Interna[Conta de Destino],B98)-SUMIFS(Transferência_Interna[Valor],Transferência_Interna[Conta de Origem],B98)</f>
        <v>0</v>
      </c>
      <c r="E98" s="266"/>
    </row>
    <row r="99">
      <c r="B99" s="267"/>
      <c r="C99" s="267"/>
      <c r="D99" s="265">
        <f>SUMIFS(Entradas[Valores],Entradas[Conta Financeira],B99,Entradas[Status],"Realizado")-SUMIFS(Saidas[Valores],Saidas[Conta Financeira],B99,Saidas[Status],"Realizado")+SUMIFS(Cadastros!$D$6:$D$19,Cadastros!$B$6:$B$19,B99)+SUMIFS(Transferência_Interna[Valor],Transferência_Interna[Conta de Destino],B99)-SUMIFS(Transferência_Interna[Valor],Transferência_Interna[Conta de Origem],B99)</f>
        <v>0</v>
      </c>
      <c r="E99" s="266"/>
    </row>
    <row r="100">
      <c r="B100" s="267"/>
      <c r="C100" s="267"/>
      <c r="D100" s="265">
        <f>SUMIFS(Entradas[Valores],Entradas[Conta Financeira],B100,Entradas[Status],"Realizado")-SUMIFS(Saidas[Valores],Saidas[Conta Financeira],B100,Saidas[Status],"Realizado")+SUMIFS(Cadastros!$D$6:$D$19,Cadastros!$B$6:$B$19,B100)+SUMIFS(Transferência_Interna[Valor],Transferência_Interna[Conta de Destino],B100)-SUMIFS(Transferência_Interna[Valor],Transferência_Interna[Conta de Origem],B100)</f>
        <v>0</v>
      </c>
      <c r="E100" s="266"/>
    </row>
    <row r="101">
      <c r="B101" s="267"/>
      <c r="C101" s="267"/>
      <c r="D101" s="265">
        <f>SUMIFS(Entradas[Valores],Entradas[Conta Financeira],B101,Entradas[Status],"Realizado")-SUMIFS(Saidas[Valores],Saidas[Conta Financeira],B101,Saidas[Status],"Realizado")+SUMIFS(Cadastros!$D$6:$D$19,Cadastros!$B$6:$B$19,B101)+SUMIFS(Transferência_Interna[Valor],Transferência_Interna[Conta de Destino],B101)-SUMIFS(Transferência_Interna[Valor],Transferência_Interna[Conta de Origem],B101)</f>
        <v>0</v>
      </c>
      <c r="E101" s="266"/>
    </row>
    <row r="102">
      <c r="B102" s="267"/>
      <c r="C102" s="267"/>
      <c r="D102" s="265">
        <f>SUMIFS(Entradas[Valores],Entradas[Conta Financeira],B102,Entradas[Status],"Realizado")-SUMIFS(Saidas[Valores],Saidas[Conta Financeira],B102,Saidas[Status],"Realizado")+SUMIFS(Cadastros!$D$6:$D$19,Cadastros!$B$6:$B$19,B102)+SUMIFS(Transferência_Interna[Valor],Transferência_Interna[Conta de Destino],B102)-SUMIFS(Transferência_Interna[Valor],Transferência_Interna[Conta de Origem],B102)</f>
        <v>0</v>
      </c>
      <c r="E102" s="266"/>
    </row>
    <row r="103">
      <c r="B103" s="267"/>
      <c r="C103" s="267"/>
      <c r="D103" s="265">
        <f>SUMIFS(Entradas[Valores],Entradas[Conta Financeira],B103,Entradas[Status],"Realizado")-SUMIFS(Saidas[Valores],Saidas[Conta Financeira],B103,Saidas[Status],"Realizado")+SUMIFS(Cadastros!$D$6:$D$19,Cadastros!$B$6:$B$19,B103)+SUMIFS(Transferência_Interna[Valor],Transferência_Interna[Conta de Destino],B103)-SUMIFS(Transferência_Interna[Valor],Transferência_Interna[Conta de Origem],B103)</f>
        <v>0</v>
      </c>
      <c r="E103" s="266"/>
    </row>
    <row r="104">
      <c r="B104" s="267"/>
      <c r="C104" s="267"/>
      <c r="D104" s="265">
        <f>SUMIFS(Entradas[Valores],Entradas[Conta Financeira],B104,Entradas[Status],"Realizado")-SUMIFS(Saidas[Valores],Saidas[Conta Financeira],B104,Saidas[Status],"Realizado")+SUMIFS(Cadastros!$D$6:$D$19,Cadastros!$B$6:$B$19,B104)+SUMIFS(Transferência_Interna[Valor],Transferência_Interna[Conta de Destino],B104)-SUMIFS(Transferência_Interna[Valor],Transferência_Interna[Conta de Origem],B104)</f>
        <v>0</v>
      </c>
      <c r="E104" s="266"/>
    </row>
    <row r="105">
      <c r="B105" s="267"/>
      <c r="C105" s="267"/>
      <c r="D105" s="265">
        <f>SUMIFS(Entradas[Valores],Entradas[Conta Financeira],B105,Entradas[Status],"Realizado")-SUMIFS(Saidas[Valores],Saidas[Conta Financeira],B105,Saidas[Status],"Realizado")+SUMIFS(Cadastros!$D$6:$D$19,Cadastros!$B$6:$B$19,B105)+SUMIFS(Transferência_Interna[Valor],Transferência_Interna[Conta de Destino],B105)-SUMIFS(Transferência_Interna[Valor],Transferência_Interna[Conta de Origem],B105)</f>
        <v>0</v>
      </c>
      <c r="E105" s="266"/>
    </row>
    <row r="106">
      <c r="B106" s="274"/>
      <c r="C106" s="274"/>
      <c r="D106" s="265">
        <f>SUMIFS(Entradas[Valores],Entradas[Conta Financeira],B106,Entradas[Status],"Realizado")-SUMIFS(Saidas[Valores],Saidas[Conta Financeira],B106,Saidas[Status],"Realizado")+SUMIFS(Cadastros!$D$6:$D$19,Cadastros!$B$6:$B$19,B106)+SUMIFS(Transferência_Interna[Valor],Transferência_Interna[Conta de Destino],B106)-SUMIFS(Transferência_Interna[Valor],Transferência_Interna[Conta de Origem],B106)</f>
        <v>0</v>
      </c>
      <c r="E106" s="266"/>
    </row>
  </sheetData>
  <mergeCells count="65">
    <mergeCell ref="D87:E87"/>
    <mergeCell ref="D88:E88"/>
    <mergeCell ref="D89:E89"/>
    <mergeCell ref="D93:E93"/>
    <mergeCell ref="D94:E94"/>
    <mergeCell ref="D95:E95"/>
    <mergeCell ref="D96:E96"/>
    <mergeCell ref="D104:E104"/>
    <mergeCell ref="D105:E105"/>
    <mergeCell ref="D106:E106"/>
    <mergeCell ref="D97:E97"/>
    <mergeCell ref="D98:E98"/>
    <mergeCell ref="D99:E99"/>
    <mergeCell ref="D100:E100"/>
    <mergeCell ref="D101:E101"/>
    <mergeCell ref="D102:E102"/>
    <mergeCell ref="D103:E103"/>
    <mergeCell ref="B2:B3"/>
    <mergeCell ref="C2:E2"/>
    <mergeCell ref="C3:E3"/>
    <mergeCell ref="C4:E5"/>
    <mergeCell ref="D7:E7"/>
    <mergeCell ref="D8:E8"/>
    <mergeCell ref="D9:E9"/>
    <mergeCell ref="D12:E12"/>
    <mergeCell ref="D13:E13"/>
    <mergeCell ref="D14:E14"/>
    <mergeCell ref="B69:E69"/>
    <mergeCell ref="B70:C70"/>
    <mergeCell ref="D70:E70"/>
    <mergeCell ref="D71:E71"/>
    <mergeCell ref="B71:C71"/>
    <mergeCell ref="B72:C72"/>
    <mergeCell ref="B73:C73"/>
    <mergeCell ref="B74:C74"/>
    <mergeCell ref="B75:C75"/>
    <mergeCell ref="B76:C76"/>
    <mergeCell ref="B77:C77"/>
    <mergeCell ref="D72:E72"/>
    <mergeCell ref="D73:E73"/>
    <mergeCell ref="D74:E74"/>
    <mergeCell ref="D75:E75"/>
    <mergeCell ref="D76:E76"/>
    <mergeCell ref="D77:E77"/>
    <mergeCell ref="D78:E78"/>
    <mergeCell ref="B85:C85"/>
    <mergeCell ref="B86:C86"/>
    <mergeCell ref="B87:C87"/>
    <mergeCell ref="B88:C88"/>
    <mergeCell ref="B89:C89"/>
    <mergeCell ref="B92:C92"/>
    <mergeCell ref="B78:C78"/>
    <mergeCell ref="B79:C79"/>
    <mergeCell ref="B80:C80"/>
    <mergeCell ref="B81:C81"/>
    <mergeCell ref="B82:C82"/>
    <mergeCell ref="B83:C83"/>
    <mergeCell ref="B84:C84"/>
    <mergeCell ref="D79:E79"/>
    <mergeCell ref="D80:E80"/>
    <mergeCell ref="D81:E81"/>
    <mergeCell ref="D83:E83"/>
    <mergeCell ref="D84:E84"/>
    <mergeCell ref="D85:E85"/>
    <mergeCell ref="D86:E86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75"/>
    <col customWidth="1" min="2" max="2" width="13.0"/>
    <col customWidth="1" min="3" max="3" width="25.63"/>
    <col customWidth="1" min="4" max="4" width="2.13"/>
    <col customWidth="1" min="5" max="5" width="17.63"/>
    <col customWidth="1" min="6" max="6" width="2.0"/>
    <col customWidth="1" min="7" max="7" width="21.38"/>
    <col customWidth="1" min="8" max="8" width="1.88"/>
    <col customWidth="1" min="9" max="9" width="14.5"/>
    <col customWidth="1" min="10" max="10" width="18.0"/>
    <col customWidth="1" min="11" max="11" width="13.75"/>
    <col customWidth="1" min="13" max="13" width="15.25"/>
  </cols>
  <sheetData>
    <row r="1" ht="7.5" customHeight="1"/>
    <row r="2" ht="22.5" customHeight="1">
      <c r="B2" s="152">
        <f>DAY(TODAY())</f>
        <v>11</v>
      </c>
      <c r="C2" s="220"/>
      <c r="G2" s="221"/>
    </row>
    <row r="3" ht="23.25" customHeight="1">
      <c r="C3" s="222" t="s">
        <v>204</v>
      </c>
      <c r="G3" s="221"/>
    </row>
    <row r="4" ht="22.5" customHeight="1">
      <c r="B4" s="223" t="str">
        <f>PROPER(TEXT(MesAtual,"MMMM"))</f>
        <v>Agosto</v>
      </c>
      <c r="C4" s="224">
        <f>SUM(I33:I46)</f>
        <v>24615</v>
      </c>
      <c r="G4" s="221"/>
    </row>
    <row r="5" ht="22.5" customHeight="1">
      <c r="B5" s="223" t="str">
        <f>PROPER(TEXT(MesAtual,"YYYY"))</f>
        <v>2026</v>
      </c>
      <c r="G5" s="221"/>
    </row>
    <row r="6" ht="9.75" customHeight="1">
      <c r="E6" s="225"/>
    </row>
    <row r="7" ht="22.5" customHeight="1">
      <c r="B7" s="161"/>
      <c r="C7" s="162" t="s">
        <v>206</v>
      </c>
      <c r="D7" s="162" t="s">
        <v>207</v>
      </c>
      <c r="F7" s="226"/>
      <c r="G7" s="227"/>
    </row>
    <row r="8" ht="22.5" customHeight="1">
      <c r="B8" s="161"/>
      <c r="C8" s="162" t="s">
        <v>208</v>
      </c>
      <c r="D8" s="162" t="s">
        <v>209</v>
      </c>
      <c r="F8" s="228"/>
      <c r="G8" s="227"/>
    </row>
    <row r="9" ht="22.5" customHeight="1">
      <c r="B9" s="161"/>
      <c r="C9" s="167">
        <f>SUMIFS(Entradas[Valores],Entradas[Status],"Previsto",Entradas[Data do Recebimento],"="&amp;TODAY())</f>
        <v>0</v>
      </c>
      <c r="D9" s="167">
        <f>SUMIFS(Entradas[Valores],Entradas[Status],"Previsto",Entradas[Data do Recebimento],"&gt;="&amp;TODAY(),Entradas[Data do Recebimento],"&lt;"&amp;EDATE(MesAtual,1))</f>
        <v>0</v>
      </c>
      <c r="F9" s="228"/>
      <c r="G9" s="229"/>
    </row>
    <row r="10" ht="22.5" customHeight="1">
      <c r="B10" s="230" t="str">
        <f>"Recebimentos em Atraso"&amp;" "&amp;TEXT(SUMIFS(Entradas[Valores],Entradas[Status],"Previsto",Entradas[Data do Recebimento],"&lt;"&amp;TODAY()),"R$ 0.0,0")</f>
        <v>Recebimentos em Atraso R$ 16.600,00</v>
      </c>
      <c r="C10" s="170"/>
      <c r="D10" s="169"/>
      <c r="E10" s="169"/>
      <c r="F10" s="231"/>
      <c r="G10" s="231"/>
    </row>
    <row r="11" ht="10.5" customHeight="1"/>
    <row r="12" ht="22.5" customHeight="1">
      <c r="B12" s="171"/>
      <c r="C12" s="172" t="s">
        <v>213</v>
      </c>
      <c r="D12" s="172" t="s">
        <v>214</v>
      </c>
      <c r="F12" s="226"/>
      <c r="G12" s="227" t="s">
        <v>214</v>
      </c>
    </row>
    <row r="13" ht="22.5" customHeight="1">
      <c r="B13" s="171"/>
      <c r="C13" s="172" t="s">
        <v>208</v>
      </c>
      <c r="D13" s="172" t="s">
        <v>209</v>
      </c>
      <c r="F13" s="226"/>
      <c r="G13" s="227" t="s">
        <v>210</v>
      </c>
    </row>
    <row r="14" ht="22.5" customHeight="1">
      <c r="B14" s="171"/>
      <c r="C14" s="176">
        <f>SUMIFS(Saidas[Valores],Saidas[Status],"Previsto",Saidas[Data do Pagamento],"="&amp;TODAY())</f>
        <v>0</v>
      </c>
      <c r="D14" s="176">
        <f>SUMIFS(Saidas[Valores],Saidas[Status],"Previsto",Saidas[Data do Pagamento],"&gt;="&amp;TODAY(),Saidas[Data do Pagamento],"&lt;"&amp;EDATE(MesAtual,1))</f>
        <v>0</v>
      </c>
      <c r="F14" s="226"/>
      <c r="G14" s="229">
        <f>SUMIFS(Saidas[Valores],Saidas[Status],"Previsto")</f>
        <v>55313</v>
      </c>
      <c r="I14" s="182"/>
    </row>
    <row r="15" ht="22.5" customHeight="1">
      <c r="B15" s="232" t="str">
        <f>"Pagamentos em Atraso"&amp; " "&amp;TEXT(SUMIFS(Saidas[Valores],Saidas[Status],"Previsto",Saidas[Data do Pagamento],"&lt;"&amp;TODAY()),"R$ 0.0,0")</f>
        <v>Pagamentos em Atraso R$ 55.313,00</v>
      </c>
      <c r="C15" s="181"/>
      <c r="D15" s="173"/>
      <c r="E15" s="173"/>
      <c r="F15" s="226"/>
      <c r="G15" s="226"/>
      <c r="I15" s="182"/>
    </row>
    <row r="16">
      <c r="I16" s="182"/>
    </row>
    <row r="32">
      <c r="B32" s="271" t="s">
        <v>194</v>
      </c>
      <c r="C32" s="12"/>
      <c r="D32" s="12"/>
      <c r="E32" s="12"/>
      <c r="F32" s="233"/>
      <c r="G32" s="187" t="s">
        <v>6</v>
      </c>
      <c r="H32" s="12"/>
      <c r="I32" s="187"/>
      <c r="J32" s="187" t="s">
        <v>218</v>
      </c>
    </row>
    <row r="33">
      <c r="B33" s="241" t="str">
        <f>X!$V$2</f>
        <v>Receitas Operacionais</v>
      </c>
      <c r="C33" s="242"/>
      <c r="D33" s="243">
        <f>SUMIFS(Entradas[Valores],Entradas[Data da Competência],"&gt;="&amp;MesAtual,Entradas[Data da Competência],"&lt;"&amp;EDATE(MesAtual,1),Entradas[Categoria],$B33)</f>
        <v>0</v>
      </c>
      <c r="E33" s="242"/>
      <c r="F33" s="234"/>
      <c r="G33" s="264" t="str">
        <f t="array" ref="G33:G46">bancos</f>
        <v>Banco Inter</v>
      </c>
      <c r="H33" s="264"/>
      <c r="I33" s="265">
        <f>SUMIFS(Entradas[Valores],Entradas[Conta Financeira],G33,Entradas[Status],"Realizado")-SUMIFS(Saidas[Valores],Saidas[Conta Financeira],G33,Saidas[Status],"Realizado")+SUMIFS(Cadastros!$D$6:$D$19,Cadastros!$B$6:$B$19,G33)+SUMIFS(Transferência_Interna[Valor],Transferência_Interna[Conta de Destino],G33)-SUMIFS(Transferência_Interna[Valor],Transferência_Interna[Conta de Origem],G33)</f>
        <v>-44735</v>
      </c>
      <c r="J33" s="266"/>
    </row>
    <row r="34">
      <c r="B34" s="244" t="str">
        <f>X!$V$3</f>
        <v>Outras Receitas Operacionais</v>
      </c>
      <c r="C34" s="245"/>
      <c r="D34" s="256">
        <f>SUMIFS(Entradas[Valores],Entradas[Data da Competência],"&gt;="&amp;MesAtual,Entradas[Data da Competência],"&lt;"&amp;EDATE(MesAtual,1),Entradas[Categoria],$B34)</f>
        <v>0</v>
      </c>
      <c r="E34" s="245"/>
      <c r="F34" s="236"/>
      <c r="G34" s="267" t="s">
        <v>73</v>
      </c>
      <c r="H34" s="267"/>
      <c r="I34" s="265">
        <f>SUMIFS(Entradas[Valores],Entradas[Conta Financeira],G34,Entradas[Status],"Realizado")-SUMIFS(Saidas[Valores],Saidas[Conta Financeira],G34,Saidas[Status],"Realizado")+SUMIFS(Cadastros!$D$6:$D$19,Cadastros!$B$6:$B$19,G34)+SUMIFS(Transferência_Interna[Valor],Transferência_Interna[Conta de Destino],G34)-SUMIFS(Transferência_Interna[Valor],Transferência_Interna[Conta de Origem],G34)</f>
        <v>69350</v>
      </c>
      <c r="J34" s="266"/>
    </row>
    <row r="35">
      <c r="B35" s="248" t="s">
        <v>199</v>
      </c>
      <c r="C35" s="249"/>
      <c r="D35" s="254">
        <f>D33+D34</f>
        <v>0</v>
      </c>
      <c r="E35" s="255"/>
      <c r="F35" s="237"/>
      <c r="G35" s="267"/>
      <c r="H35" s="267"/>
      <c r="I35" s="265">
        <f>SUMIFS(Entradas[Valores],Entradas[Conta Financeira],G35,Entradas[Status],"Realizado")-SUMIFS(Saidas[Valores],Saidas[Conta Financeira],G35,Saidas[Status],"Realizado")+SUMIFS(Cadastros!$D$6:$D$19,Cadastros!$B$6:$B$19,G35)+SUMIFS(Transferência_Interna[Valor],Transferência_Interna[Conta de Destino],G35)-SUMIFS(Transferência_Interna[Valor],Transferência_Interna[Conta de Origem],G35)</f>
        <v>0</v>
      </c>
      <c r="J35" s="266"/>
    </row>
    <row r="36">
      <c r="B36" s="241" t="str">
        <f>#REF!</f>
        <v>#REF!</v>
      </c>
      <c r="C36" s="242"/>
      <c r="D36" s="243">
        <f>SUMIFS(Saidas[Valores],Saidas[Data da Competência],"&gt;="&amp;MesAtual,Saidas[Data da Competência],"&lt;"&amp;EDATE(MesAtual,1),Saidas[Categoria],$B36)</f>
        <v>0</v>
      </c>
      <c r="E36" s="242"/>
      <c r="F36" s="238"/>
      <c r="G36" s="267"/>
      <c r="H36" s="267"/>
      <c r="I36" s="265">
        <f>SUMIFS(Entradas[Valores],Entradas[Conta Financeira],G36,Entradas[Status],"Realizado")-SUMIFS(Saidas[Valores],Saidas[Conta Financeira],G36,Saidas[Status],"Realizado")+SUMIFS(Cadastros!$D$6:$D$19,Cadastros!$B$6:$B$19,G36)+SUMIFS(Transferência_Interna[Valor],Transferência_Interna[Conta de Destino],G36)-SUMIFS(Transferência_Interna[Valor],Transferência_Interna[Conta de Origem],G36)</f>
        <v>0</v>
      </c>
      <c r="J36" s="266"/>
    </row>
    <row r="37">
      <c r="B37" s="273" t="str">
        <f>X!$V$6</f>
        <v>Deduções sobre vendas</v>
      </c>
      <c r="C37" s="247"/>
      <c r="D37" s="256">
        <f>SUMIFS(Saidas[Valores],Saidas[Data da Competência],"&gt;="&amp;MesAtual,Saidas[Data da Competência],"&lt;"&amp;EDATE(MesAtual,1),Saidas[Categoria],$B37)</f>
        <v>0</v>
      </c>
      <c r="E37" s="245"/>
      <c r="F37" s="238"/>
      <c r="G37" s="267"/>
      <c r="H37" s="267"/>
      <c r="I37" s="265">
        <f>SUMIFS(Entradas[Valores],Entradas[Conta Financeira],G37,Entradas[Status],"Realizado")-SUMIFS(Saidas[Valores],Saidas[Conta Financeira],G37,Saidas[Status],"Realizado")+SUMIFS(Cadastros!$D$6:$D$19,Cadastros!$B$6:$B$19,G37)+SUMIFS(Transferência_Interna[Valor],Transferência_Interna[Conta de Destino],G37)-SUMIFS(Transferência_Interna[Valor],Transferência_Interna[Conta de Origem],G37)</f>
        <v>0</v>
      </c>
      <c r="J37" s="266"/>
    </row>
    <row r="38">
      <c r="B38" s="275" t="s">
        <v>201</v>
      </c>
      <c r="C38" s="276"/>
      <c r="D38" s="254">
        <f>D35-D36-D37</f>
        <v>0</v>
      </c>
      <c r="E38" s="255"/>
      <c r="F38" s="237"/>
      <c r="G38" s="267"/>
      <c r="H38" s="267"/>
      <c r="I38" s="265">
        <f>SUMIFS(Entradas[Valores],Entradas[Conta Financeira],G38,Entradas[Status],"Realizado")-SUMIFS(Saidas[Valores],Saidas[Conta Financeira],G38,Saidas[Status],"Realizado")+SUMIFS(Cadastros!$D$6:$D$19,Cadastros!$B$6:$B$19,G38)+SUMIFS(Transferência_Interna[Valor],Transferência_Interna[Conta de Destino],G38)-SUMIFS(Transferência_Interna[Valor],Transferência_Interna[Conta de Origem],G38)</f>
        <v>0</v>
      </c>
      <c r="J38" s="266"/>
    </row>
    <row r="39">
      <c r="B39" s="241" t="str">
        <f>X!$V$7</f>
        <v>Custo das Vendas</v>
      </c>
      <c r="C39" s="242"/>
      <c r="D39" s="243">
        <f>SUMIFS(Saidas[Valores],Saidas[Data da Competência],"&gt;="&amp;MesAtual,Saidas[Data da Competência],"&lt;"&amp;EDATE(MesAtual,1),Saidas[Categoria],$B39)</f>
        <v>0</v>
      </c>
      <c r="E39" s="242"/>
      <c r="F39" s="238"/>
      <c r="G39" s="267"/>
      <c r="H39" s="267"/>
      <c r="I39" s="265">
        <f>SUMIFS(Entradas[Valores],Entradas[Conta Financeira],G39,Entradas[Status],"Realizado")-SUMIFS(Saidas[Valores],Saidas[Conta Financeira],G39,Saidas[Status],"Realizado")+SUMIFS(Cadastros!$D$6:$D$19,Cadastros!$B$6:$B$19,G39)+SUMIFS(Transferência_Interna[Valor],Transferência_Interna[Conta de Destino],G39)-SUMIFS(Transferência_Interna[Valor],Transferência_Interna[Conta de Origem],G39)</f>
        <v>0</v>
      </c>
      <c r="J39" s="266"/>
    </row>
    <row r="40">
      <c r="B40" s="248" t="s">
        <v>203</v>
      </c>
      <c r="C40" s="249"/>
      <c r="D40" s="254">
        <f>D38-D39</f>
        <v>0</v>
      </c>
      <c r="E40" s="255"/>
      <c r="F40" s="237"/>
      <c r="G40" s="267"/>
      <c r="H40" s="267"/>
      <c r="I40" s="265">
        <f>SUMIFS(Entradas[Valores],Entradas[Conta Financeira],G40,Entradas[Status],"Realizado")-SUMIFS(Saidas[Valores],Saidas[Conta Financeira],G40,Saidas[Status],"Realizado")+SUMIFS(Cadastros!$D$6:$D$19,Cadastros!$B$6:$B$19,G40)+SUMIFS(Transferência_Interna[Valor],Transferência_Interna[Conta de Destino],G40)-SUMIFS(Transferência_Interna[Valor],Transferência_Interna[Conta de Origem],G40)</f>
        <v>0</v>
      </c>
      <c r="J40" s="266"/>
    </row>
    <row r="41">
      <c r="B41" s="241" t="str">
        <f>X!$V$8</f>
        <v>Despesas administrativas</v>
      </c>
      <c r="C41" s="242"/>
      <c r="D41" s="243">
        <f>SUMIFS(Saidas[Valores],Saidas[Data da Competência],"&gt;="&amp;MesAtual,Saidas[Data da Competência],"&lt;"&amp;EDATE(MesAtual,1),Saidas[Categoria],$B41)</f>
        <v>0</v>
      </c>
      <c r="E41" s="242"/>
      <c r="F41" s="238"/>
      <c r="G41" s="267"/>
      <c r="H41" s="267"/>
      <c r="I41" s="265">
        <f>SUMIFS(Entradas[Valores],Entradas[Conta Financeira],G41,Entradas[Status],"Realizado")-SUMIFS(Saidas[Valores],Saidas[Conta Financeira],G41,Saidas[Status],"Realizado")+SUMIFS(Cadastros!$D$6:$D$19,Cadastros!$B$6:$B$19,G41)+SUMIFS(Transferência_Interna[Valor],Transferência_Interna[Conta de Destino],G41)-SUMIFS(Transferência_Interna[Valor],Transferência_Interna[Conta de Origem],G41)</f>
        <v>0</v>
      </c>
      <c r="J41" s="266"/>
    </row>
    <row r="42">
      <c r="B42" s="244" t="str">
        <f>X!$V$9</f>
        <v>Despesa com Pessoal</v>
      </c>
      <c r="C42" s="245"/>
      <c r="D42" s="256">
        <f>SUMIFS(Saidas[Valores],Saidas[Data da Competência],"&gt;="&amp;MesAtual,Saidas[Data da Competência],"&lt;"&amp;EDATE(MesAtual,1),Saidas[Categoria],$B42)</f>
        <v>0</v>
      </c>
      <c r="E42" s="245"/>
      <c r="F42" s="238"/>
      <c r="G42" s="267"/>
      <c r="H42" s="267"/>
      <c r="I42" s="265">
        <f>SUMIFS(Entradas[Valores],Entradas[Conta Financeira],G42,Entradas[Status],"Realizado")-SUMIFS(Saidas[Valores],Saidas[Conta Financeira],G42,Saidas[Status],"Realizado")+SUMIFS(Cadastros!$D$6:$D$19,Cadastros!$B$6:$B$19,G42)+SUMIFS(Transferência_Interna[Valor],Transferência_Interna[Conta de Destino],G42)-SUMIFS(Transferência_Interna[Valor],Transferência_Interna[Conta de Origem],G42)</f>
        <v>0</v>
      </c>
      <c r="J42" s="266"/>
    </row>
    <row r="43">
      <c r="B43" s="244" t="str">
        <f>X!$V$11</f>
        <v>Despesa Financeira</v>
      </c>
      <c r="C43" s="245"/>
      <c r="D43" s="256">
        <f>SUMIFS(Saidas[Valores],Saidas[Data da Competência],"&gt;="&amp;MesAtual,Saidas[Data da Competência],"&lt;"&amp;EDATE(MesAtual,1),Saidas[Categoria],$B43)</f>
        <v>0</v>
      </c>
      <c r="E43" s="245"/>
      <c r="F43" s="238"/>
      <c r="G43" s="267"/>
      <c r="H43" s="267"/>
      <c r="I43" s="265">
        <f>SUMIFS(Entradas[Valores],Entradas[Conta Financeira],G43,Entradas[Status],"Realizado")-SUMIFS(Saidas[Valores],Saidas[Conta Financeira],G43,Saidas[Status],"Realizado")+SUMIFS(Cadastros!$D$6:$D$19,Cadastros!$B$6:$B$19,G43)+SUMIFS(Transferência_Interna[Valor],Transferência_Interna[Conta de Destino],G43)-SUMIFS(Transferência_Interna[Valor],Transferência_Interna[Conta de Origem],G43)</f>
        <v>0</v>
      </c>
      <c r="J43" s="266"/>
    </row>
    <row r="44">
      <c r="B44" s="244" t="str">
        <f>X!$V$12</f>
        <v>Despesas não operacionais</v>
      </c>
      <c r="C44" s="245"/>
      <c r="D44" s="256">
        <f>SUMIFS(Saidas[Valores],Saidas[Data da Competência],"&gt;="&amp;MesAtual,Saidas[Data da Competência],"&lt;"&amp;EDATE(MesAtual,1),Saidas[Categoria],$B44)</f>
        <v>0</v>
      </c>
      <c r="E44" s="245"/>
      <c r="F44" s="238"/>
      <c r="G44" s="267"/>
      <c r="H44" s="267"/>
      <c r="I44" s="265">
        <f>SUMIFS(Entradas[Valores],Entradas[Conta Financeira],G44,Entradas[Status],"Realizado")-SUMIFS(Saidas[Valores],Saidas[Conta Financeira],G44,Saidas[Status],"Realizado")+SUMIFS(Cadastros!$D$6:$D$19,Cadastros!$B$6:$B$19,G44)+SUMIFS(Transferência_Interna[Valor],Transferência_Interna[Conta de Destino],G44)-SUMIFS(Transferência_Interna[Valor],Transferência_Interna[Conta de Origem],G44)</f>
        <v>0</v>
      </c>
      <c r="J44" s="266"/>
    </row>
    <row r="45">
      <c r="B45" s="248" t="s">
        <v>215</v>
      </c>
      <c r="C45" s="249"/>
      <c r="D45" s="283"/>
      <c r="E45" s="254">
        <f>D40-D41-D42-D43-D44</f>
        <v>0</v>
      </c>
      <c r="F45" s="237"/>
      <c r="G45" s="267"/>
      <c r="H45" s="267"/>
      <c r="I45" s="265">
        <f>SUMIFS(Entradas[Valores],Entradas[Conta Financeira],G45,Entradas[Status],"Realizado")-SUMIFS(Saidas[Valores],Saidas[Conta Financeira],G45,Saidas[Status],"Realizado")+SUMIFS(Cadastros!$D$6:$D$19,Cadastros!$B$6:$B$19,G45)+SUMIFS(Transferência_Interna[Valor],Transferência_Interna[Conta de Destino],G45)-SUMIFS(Transferência_Interna[Valor],Transferência_Interna[Conta de Origem],G45)</f>
        <v>0</v>
      </c>
      <c r="J45" s="266"/>
    </row>
    <row r="46">
      <c r="B46" s="241" t="str">
        <f>X!$V$4</f>
        <v>Receitas Financeiras</v>
      </c>
      <c r="C46" s="242"/>
      <c r="D46" s="256">
        <f>SUMIFS(Entradas[Valores],Entradas[Data da Competência],"&gt;="&amp;MesAtual,Entradas[Data da Competência],"&lt;"&amp;EDATE(MesAtual,1),Entradas[Categoria],$B46)</f>
        <v>0</v>
      </c>
      <c r="E46" s="245"/>
      <c r="F46" s="238"/>
      <c r="G46" s="274"/>
      <c r="H46" s="274"/>
      <c r="I46" s="265">
        <f>SUMIFS(Entradas[Valores],Entradas[Conta Financeira],G46,Entradas[Status],"Realizado")-SUMIFS(Saidas[Valores],Saidas[Conta Financeira],G46,Saidas[Status],"Realizado")+SUMIFS(Cadastros!$D$6:$D$19,Cadastros!$B$6:$B$19,G46)+SUMIFS(Transferência_Interna[Valor],Transferência_Interna[Conta de Destino],G46)-SUMIFS(Transferência_Interna[Valor],Transferência_Interna[Conta de Origem],G46)</f>
        <v>0</v>
      </c>
      <c r="J46" s="266"/>
    </row>
    <row r="47">
      <c r="B47" s="244" t="str">
        <f>X!$V$13</f>
        <v>Impostos</v>
      </c>
      <c r="C47" s="245"/>
      <c r="D47" s="256">
        <f>SUMIFS(Saidas[Valores],Saidas[Data da Competência],"&gt;="&amp;MesAtual,Saidas[Data da Competência],"&lt;"&amp;EDATE(MesAtual,1),Saidas[Categoria],$B47)</f>
        <v>0</v>
      </c>
      <c r="E47" s="245"/>
      <c r="F47" s="238"/>
      <c r="G47" s="235"/>
    </row>
    <row r="48">
      <c r="B48" s="244" t="str">
        <f>X!$V$5</f>
        <v>Receitas não operacionais</v>
      </c>
      <c r="C48" s="245"/>
      <c r="D48" s="256">
        <f>SUMIFS(Entradas[Valores],Entradas[Data da Competência],"&gt;="&amp;MesAtual,Entradas[Data da Competência],"&lt;"&amp;EDATE(MesAtual,1),Entradas[Categoria],$B48)</f>
        <v>0</v>
      </c>
      <c r="E48" s="245"/>
      <c r="F48" s="238"/>
      <c r="G48" s="235"/>
    </row>
    <row r="49">
      <c r="B49" s="244" t="str">
        <f>X!$V$14</f>
        <v>Participação e Dividendos</v>
      </c>
      <c r="C49" s="245"/>
      <c r="D49" s="256">
        <f>SUMIFS(Saidas[Valores],Saidas[Data da Competência],"&gt;="&amp;MesAtual,Saidas[Data da Competência],"&lt;"&amp;EDATE(MesAtual,1),Saidas[Categoria],$B49)</f>
        <v>0</v>
      </c>
      <c r="E49" s="245"/>
      <c r="F49" s="238"/>
      <c r="G49" s="235"/>
    </row>
    <row r="50">
      <c r="B50" s="275" t="s">
        <v>219</v>
      </c>
      <c r="C50" s="276"/>
      <c r="D50" s="250">
        <f>E45+D46-D47+D48-D49</f>
        <v>0</v>
      </c>
      <c r="E50" s="251"/>
      <c r="F50" s="237"/>
      <c r="G50" s="235"/>
    </row>
    <row r="51">
      <c r="B51" s="244" t="str">
        <f>X!$V$15</f>
        <v/>
      </c>
      <c r="C51" s="245"/>
      <c r="D51" s="256">
        <f>SUMIFS(Saidas[Valores],Saidas[Data da Competência],"&gt;="&amp;MesAtual,Saidas[Data da Competência],"&lt;"&amp;EDATE(MesAtual,1),Saidas[Categoria],$B51)</f>
        <v>0</v>
      </c>
      <c r="E51" s="245"/>
      <c r="F51" s="238"/>
      <c r="G51" s="235"/>
    </row>
    <row r="52">
      <c r="B52" s="261" t="s">
        <v>220</v>
      </c>
      <c r="C52" s="262"/>
      <c r="D52" s="263">
        <f>D50-D51</f>
        <v>0</v>
      </c>
      <c r="E52" s="245"/>
      <c r="F52" s="239"/>
      <c r="G52" s="240"/>
    </row>
  </sheetData>
  <mergeCells count="65">
    <mergeCell ref="B47:C47"/>
    <mergeCell ref="B48:C48"/>
    <mergeCell ref="B49:C49"/>
    <mergeCell ref="B50:C50"/>
    <mergeCell ref="B51:C51"/>
    <mergeCell ref="B52:C52"/>
    <mergeCell ref="B40:C40"/>
    <mergeCell ref="B41:C41"/>
    <mergeCell ref="B42:C42"/>
    <mergeCell ref="B43:C43"/>
    <mergeCell ref="B44:C44"/>
    <mergeCell ref="B45:C45"/>
    <mergeCell ref="B46:C46"/>
    <mergeCell ref="B2:B3"/>
    <mergeCell ref="C2:E2"/>
    <mergeCell ref="C3:E3"/>
    <mergeCell ref="C4:E5"/>
    <mergeCell ref="D7:E7"/>
    <mergeCell ref="D8:E8"/>
    <mergeCell ref="D9:E9"/>
    <mergeCell ref="D12:E12"/>
    <mergeCell ref="D13:E13"/>
    <mergeCell ref="D14:E14"/>
    <mergeCell ref="B32:E32"/>
    <mergeCell ref="G32:H32"/>
    <mergeCell ref="D33:E33"/>
    <mergeCell ref="I33:J33"/>
    <mergeCell ref="B33:C33"/>
    <mergeCell ref="B34:C34"/>
    <mergeCell ref="D34:E34"/>
    <mergeCell ref="B35:C35"/>
    <mergeCell ref="D35:E35"/>
    <mergeCell ref="B36:C36"/>
    <mergeCell ref="D36:E36"/>
    <mergeCell ref="B37:C37"/>
    <mergeCell ref="D37:E37"/>
    <mergeCell ref="B38:C38"/>
    <mergeCell ref="D38:E38"/>
    <mergeCell ref="B39:C39"/>
    <mergeCell ref="D39:E39"/>
    <mergeCell ref="D40:E40"/>
    <mergeCell ref="I41:J41"/>
    <mergeCell ref="I42:J42"/>
    <mergeCell ref="I43:J43"/>
    <mergeCell ref="I44:J44"/>
    <mergeCell ref="I45:J45"/>
    <mergeCell ref="I46:J46"/>
    <mergeCell ref="I34:J34"/>
    <mergeCell ref="I35:J35"/>
    <mergeCell ref="I36:J36"/>
    <mergeCell ref="I37:J37"/>
    <mergeCell ref="I38:J38"/>
    <mergeCell ref="I39:J39"/>
    <mergeCell ref="I40:J40"/>
    <mergeCell ref="D49:E49"/>
    <mergeCell ref="D50:E50"/>
    <mergeCell ref="D51:E51"/>
    <mergeCell ref="D52:E52"/>
    <mergeCell ref="D41:E41"/>
    <mergeCell ref="D42:E42"/>
    <mergeCell ref="D43:E43"/>
    <mergeCell ref="D44:E44"/>
    <mergeCell ref="D46:E46"/>
    <mergeCell ref="D47:E47"/>
    <mergeCell ref="D48:E48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13" max="13" width="19.0"/>
  </cols>
  <sheetData>
    <row r="1">
      <c r="A1" s="187" t="s">
        <v>228</v>
      </c>
      <c r="B1" s="12"/>
      <c r="C1" s="12"/>
      <c r="D1" s="12"/>
      <c r="E1" s="12"/>
      <c r="F1" s="277" t="str">
        <f>Dashboard!D2</f>
        <v>Todos</v>
      </c>
      <c r="G1" s="77" t="s">
        <v>229</v>
      </c>
      <c r="M1" s="77" t="s">
        <v>230</v>
      </c>
      <c r="N1" s="77" t="s">
        <v>231</v>
      </c>
      <c r="P1" s="77" t="s">
        <v>222</v>
      </c>
      <c r="Q1" s="77" t="s">
        <v>231</v>
      </c>
    </row>
    <row r="2">
      <c r="A2" s="108" t="s">
        <v>10</v>
      </c>
      <c r="B2" s="278"/>
      <c r="C2" s="278" t="s">
        <v>232</v>
      </c>
      <c r="D2" s="108" t="s">
        <v>233</v>
      </c>
      <c r="E2" s="77" t="s">
        <v>9</v>
      </c>
      <c r="G2" s="77" t="s">
        <v>10</v>
      </c>
      <c r="H2" s="77" t="s">
        <v>234</v>
      </c>
      <c r="I2" s="77" t="s">
        <v>235</v>
      </c>
      <c r="J2" s="77" t="s">
        <v>236</v>
      </c>
      <c r="K2" s="77" t="s">
        <v>237</v>
      </c>
      <c r="M2" s="277" t="str">
        <f t="array" ref="M2:M994">Clientes</f>
        <v>Rogério Ceni</v>
      </c>
      <c r="N2" s="105">
        <f>SUMIFS(Entradas[Valores],Entradas[Cliente],M2,Entradas[Data da Competência],"&gt;="&amp;RESUMO!$C$4,Entradas[Data da Competência],"&lt;"&amp;RESUMO!$D$5,Entradas[Centro de Custos],X!$E$14,Entradas[Status],X!$E$13)</f>
        <v>9200</v>
      </c>
      <c r="P2" s="277" t="str">
        <f t="array" ref="P2:P994">Fornecedores</f>
        <v>Fornecedor 01</v>
      </c>
      <c r="Q2" s="105">
        <f>SUMIFS(Saidas[Valores],Saidas[Fornecedor],P2,Saidas[Data da Competência],"&gt;="&amp;RESUMO!$C$4,Saidas[Data da Competência],"&lt;"&amp;RESUMO!$D$5,Saidas[Centro de Custos],X!$E$14,Saidas[Status],X!$E$13)</f>
        <v>40713</v>
      </c>
      <c r="U2" s="193" t="s">
        <v>223</v>
      </c>
      <c r="V2" s="12"/>
    </row>
    <row r="3">
      <c r="A3" s="279">
        <f>TODAY()</f>
        <v>46245</v>
      </c>
      <c r="B3" s="280">
        <f t="shared" ref="B3:B17" si="1">DAY(A3)</f>
        <v>11</v>
      </c>
      <c r="C3" s="215">
        <f>SUMIFS(Entradas[Valores],Entradas[Data do Recebimento],"&gt;="&amp;A3,Entradas[Data do Recebimento],"&lt;"&amp;A3+1,Entradas[Centro de Custos], IF($F$1="Todos", "&lt;&gt;-", $F$1))</f>
        <v>0</v>
      </c>
      <c r="D3" s="281">
        <f>SUMIFS(Saidas[Valores],Saidas[Data do Pagamento],"&gt;="&amp;A3,Saidas[Data do Pagamento],"&lt;"&amp;A3+1,Saidas[Centro de Custos], IF($F$1="Todos", "&lt;&gt;-", $F$1))</f>
        <v>0</v>
      </c>
      <c r="E3" s="281">
        <f>C3-D3+Dashboard!C7</f>
        <v>24615</v>
      </c>
      <c r="G3" s="282">
        <f>EDATE(MesAtual,-5)</f>
        <v>46082</v>
      </c>
      <c r="H3" s="277" t="str">
        <f t="shared" ref="H3:H8" si="2">TEXT(G3,"MMM-YYYY")</f>
        <v>mar.-2026</v>
      </c>
      <c r="I3" s="105">
        <f>SUMIFS(Entradas[Valores],Entradas[Data da Competência],"&gt;="&amp;G3,Entradas[Data da Competência],"&lt;"&amp;EDATE(G3,1),Entradas[Centro de Custos], IF($F$1="Todos", "&lt;&gt;-", $F$1))</f>
        <v>0</v>
      </c>
      <c r="J3" s="105">
        <f>SUMIFS(Saidas[Valores],Saidas[Data da Competência],"&gt;="&amp;G3,Saidas[Data da Competência],"&lt;"&amp;EDATE(G3,1),Saidas[Centro de Custos], IF($F$1="Todos", "&lt;&gt;-", $F$1))</f>
        <v>0</v>
      </c>
      <c r="K3" s="105">
        <f t="shared" ref="K3:K8" si="3">I3-J3</f>
        <v>0</v>
      </c>
      <c r="M3" s="277" t="s">
        <v>81</v>
      </c>
      <c r="N3" s="105">
        <f>SUMIFS(Entradas[Valores],Entradas[Cliente],M3,Entradas[Data da Competência],"&gt;="&amp;RESUMO!$C$4,Entradas[Data da Competência],"&lt;"&amp;RESUMO!$D$5,Entradas[Centro de Custos],X!$E$14,Entradas[Status],X!$E$13)</f>
        <v>7650</v>
      </c>
      <c r="P3" s="277" t="s">
        <v>82</v>
      </c>
      <c r="Q3" s="105">
        <f>SUMIFS(Saidas[Valores],Saidas[Fornecedor],P3,Saidas[Data da Competência],"&gt;="&amp;RESUMO!$C$4,Saidas[Data da Competência],"&lt;"&amp;RESUMO!$D$5,Saidas[Centro de Custos],X!$E$14,Saidas[Status],X!$E$13)</f>
        <v>5135</v>
      </c>
      <c r="U3" s="196" t="str">
        <f>X!V2</f>
        <v>Receitas Operacionais</v>
      </c>
      <c r="V3" s="195">
        <f>SUMIFS(Entradas[Valores],Entradas[Categoria],U3,Entradas[Data da Competência],"&gt;="&amp;MesAtual,Entradas[Data da Competência],"&lt;"&amp;EDATE(MesAtual,1))</f>
        <v>0</v>
      </c>
    </row>
    <row r="4">
      <c r="A4" s="279">
        <f t="shared" ref="A4:A17" si="4">A3+1</f>
        <v>46246</v>
      </c>
      <c r="B4" s="280">
        <f t="shared" si="1"/>
        <v>12</v>
      </c>
      <c r="C4" s="215">
        <f>SUMIFS(Entradas[Valores],Entradas[Data do Recebimento],"&gt;="&amp;A4,Entradas[Data do Recebimento],"&lt;"&amp;A4+1,Entradas[Centro de Custos], IF($F$1="Todos", "&lt;&gt;-", $F$1))</f>
        <v>0</v>
      </c>
      <c r="D4" s="281">
        <f>SUMIFS(Saidas[Valores],Saidas[Data do Pagamento],"&gt;="&amp;A4,Saidas[Data do Pagamento],"&lt;"&amp;A4+1,Saidas[Centro de Custos], IF($F$1="Todos", "&lt;&gt;-", $F$1))</f>
        <v>0</v>
      </c>
      <c r="E4" s="281">
        <f t="shared" ref="E4:E17" si="5">C4-D4+E3</f>
        <v>24615</v>
      </c>
      <c r="G4" s="282">
        <f t="shared" ref="G4:G8" si="6">EDATE(G3,1)</f>
        <v>46113</v>
      </c>
      <c r="H4" s="277" t="str">
        <f t="shared" si="2"/>
        <v>abr.-2026</v>
      </c>
      <c r="I4" s="105">
        <f>SUMIFS(Entradas[Valores],Entradas[Data da Competência],"&gt;="&amp;G4,Entradas[Data da Competência],"&lt;"&amp;EDATE(G4,1),Entradas[Centro de Custos], IF($F$1="Todos", "&lt;&gt;-", $F$1))</f>
        <v>0</v>
      </c>
      <c r="J4" s="105">
        <f>SUMIFS(Saidas[Valores],Saidas[Data da Competência],"&gt;="&amp;G4,Saidas[Data da Competência],"&lt;"&amp;EDATE(G4,1),Saidas[Centro de Custos], IF($F$1="Todos", "&lt;&gt;-", $F$1))</f>
        <v>0</v>
      </c>
      <c r="K4" s="105">
        <f t="shared" si="3"/>
        <v>0</v>
      </c>
      <c r="M4" s="277" t="s">
        <v>89</v>
      </c>
      <c r="N4" s="105">
        <f>SUMIFS(Entradas[Valores],Entradas[Cliente],M4,Entradas[Data da Competência],"&gt;="&amp;RESUMO!$C$4,Entradas[Data da Competência],"&lt;"&amp;RESUMO!$D$5,Entradas[Centro de Custos],X!$E$14,Entradas[Status],X!$E$13)</f>
        <v>9500</v>
      </c>
      <c r="P4" s="277" t="s">
        <v>91</v>
      </c>
      <c r="Q4" s="105">
        <f>SUMIFS(Saidas[Valores],Saidas[Fornecedor],P4,Saidas[Data da Competência],"&gt;="&amp;RESUMO!$C$4,Saidas[Data da Competência],"&lt;"&amp;RESUMO!$D$5,Saidas[Centro de Custos],X!$E$14,Saidas[Status],X!$E$13)</f>
        <v>11740</v>
      </c>
      <c r="U4" s="196" t="str">
        <f>X!V3</f>
        <v>Outras Receitas Operacionais</v>
      </c>
      <c r="V4" s="195">
        <f>SUMIFS(Entradas[Valores],Entradas[Categoria],U4,Entradas[Data da Competência],"&gt;="&amp;MesAtual,Entradas[Data da Competência],"&lt;"&amp;EDATE(MesAtual,1))</f>
        <v>0</v>
      </c>
    </row>
    <row r="5">
      <c r="A5" s="279">
        <f t="shared" si="4"/>
        <v>46247</v>
      </c>
      <c r="B5" s="280">
        <f t="shared" si="1"/>
        <v>13</v>
      </c>
      <c r="C5" s="215">
        <f>SUMIFS(Entradas[Valores],Entradas[Data do Recebimento],"&gt;="&amp;A5,Entradas[Data do Recebimento],"&lt;"&amp;A5+1,Entradas[Centro de Custos], IF($F$1="Todos", "&lt;&gt;-", $F$1))</f>
        <v>0</v>
      </c>
      <c r="D5" s="281">
        <f>SUMIFS(Saidas[Valores],Saidas[Data do Pagamento],"&gt;="&amp;A5,Saidas[Data do Pagamento],"&lt;"&amp;A5+1,Saidas[Centro de Custos], IF($F$1="Todos", "&lt;&gt;-", $F$1))</f>
        <v>0</v>
      </c>
      <c r="E5" s="281">
        <f t="shared" si="5"/>
        <v>24615</v>
      </c>
      <c r="G5" s="282">
        <f t="shared" si="6"/>
        <v>46143</v>
      </c>
      <c r="H5" s="277" t="str">
        <f t="shared" si="2"/>
        <v>mai.-2026</v>
      </c>
      <c r="I5" s="105">
        <f>SUMIFS(Entradas[Valores],Entradas[Data da Competência],"&gt;="&amp;G5,Entradas[Data da Competência],"&lt;"&amp;EDATE(G5,1),Entradas[Centro de Custos], IF($F$1="Todos", "&lt;&gt;-", $F$1))</f>
        <v>0</v>
      </c>
      <c r="J5" s="105">
        <f>SUMIFS(Saidas[Valores],Saidas[Data da Competência],"&gt;="&amp;G5,Saidas[Data da Competência],"&lt;"&amp;EDATE(G5,1),Saidas[Centro de Custos], IF($F$1="Todos", "&lt;&gt;-", $F$1))</f>
        <v>0</v>
      </c>
      <c r="K5" s="105">
        <f t="shared" si="3"/>
        <v>0</v>
      </c>
      <c r="M5" s="277" t="s">
        <v>99</v>
      </c>
      <c r="N5" s="105">
        <f>SUMIFS(Entradas[Valores],Entradas[Cliente],M5,Entradas[Data da Competência],"&gt;="&amp;RESUMO!$C$4,Entradas[Data da Competência],"&lt;"&amp;RESUMO!$D$5,Entradas[Centro de Custos],X!$E$14,Entradas[Status],X!$E$13)</f>
        <v>9400</v>
      </c>
      <c r="P5" s="277"/>
      <c r="Q5" s="105">
        <f>SUMIFS(Saidas[Valores],Saidas[Fornecedor],P5,Saidas[Data da Competência],"&gt;="&amp;RESUMO!$C$4,Saidas[Data da Competência],"&lt;"&amp;RESUMO!$D$5,Saidas[Centro de Custos],X!$E$14,Saidas[Status],X!$E$13)</f>
        <v>0</v>
      </c>
      <c r="U5" s="196" t="str">
        <f>X!V4</f>
        <v>Receitas Financeiras</v>
      </c>
      <c r="V5" s="195">
        <f>SUMIFS(Entradas[Valores],Entradas[Categoria],U5,Entradas[Data da Competência],"&gt;="&amp;MesAtual,Entradas[Data da Competência],"&lt;"&amp;EDATE(MesAtual,1))</f>
        <v>0</v>
      </c>
    </row>
    <row r="6">
      <c r="A6" s="279">
        <f t="shared" si="4"/>
        <v>46248</v>
      </c>
      <c r="B6" s="280">
        <f t="shared" si="1"/>
        <v>14</v>
      </c>
      <c r="C6" s="215">
        <f>SUMIFS(Entradas[Valores],Entradas[Data do Recebimento],"&gt;="&amp;A6,Entradas[Data do Recebimento],"&lt;"&amp;A6+1,Entradas[Centro de Custos], IF($F$1="Todos", "&lt;&gt;-", $F$1))</f>
        <v>0</v>
      </c>
      <c r="D6" s="281">
        <f>SUMIFS(Saidas[Valores],Saidas[Data do Pagamento],"&gt;="&amp;A6,Saidas[Data do Pagamento],"&lt;"&amp;A6+1,Saidas[Centro de Custos], IF($F$1="Todos", "&lt;&gt;-", $F$1))</f>
        <v>0</v>
      </c>
      <c r="E6" s="281">
        <f t="shared" si="5"/>
        <v>24615</v>
      </c>
      <c r="G6" s="282">
        <f t="shared" si="6"/>
        <v>46174</v>
      </c>
      <c r="H6" s="277" t="str">
        <f t="shared" si="2"/>
        <v>jun.-2026</v>
      </c>
      <c r="I6" s="105">
        <f>SUMIFS(Entradas[Valores],Entradas[Data da Competência],"&gt;="&amp;G6,Entradas[Data da Competência],"&lt;"&amp;EDATE(G6,1),Entradas[Centro de Custos], IF($F$1="Todos", "&lt;&gt;-", $F$1))</f>
        <v>0</v>
      </c>
      <c r="J6" s="105">
        <f>SUMIFS(Saidas[Valores],Saidas[Data da Competência],"&gt;="&amp;G6,Saidas[Data da Competência],"&lt;"&amp;EDATE(G6,1),Saidas[Centro de Custos], IF($F$1="Todos", "&lt;&gt;-", $F$1))</f>
        <v>0</v>
      </c>
      <c r="K6" s="105">
        <f t="shared" si="3"/>
        <v>0</v>
      </c>
      <c r="M6" s="277"/>
      <c r="N6" s="105">
        <f>SUMIFS(Entradas[Valores],Entradas[Cliente],M6,Entradas[Data da Competência],"&gt;="&amp;RESUMO!$C$4,Entradas[Data da Competência],"&lt;"&amp;RESUMO!$D$5,Entradas[Centro de Custos],X!$E$14,Entradas[Status],X!$E$13)</f>
        <v>0</v>
      </c>
      <c r="P6" s="277"/>
      <c r="Q6" s="105">
        <f>SUMIFS(Saidas[Valores],Saidas[Fornecedor],P6,Saidas[Data da Competência],"&gt;="&amp;RESUMO!$C$4,Saidas[Data da Competência],"&lt;"&amp;RESUMO!$D$5,Saidas[Centro de Custos],X!$E$14,Saidas[Status],X!$E$13)</f>
        <v>0</v>
      </c>
      <c r="U6" s="196" t="str">
        <f>X!V5</f>
        <v>Receitas não operacionais</v>
      </c>
      <c r="V6" s="195">
        <f>SUMIFS(Entradas[Valores],Entradas[Categoria],U6,Entradas[Data da Competência],"&gt;="&amp;MesAtual,Entradas[Data da Competência],"&lt;"&amp;EDATE(MesAtual,1))</f>
        <v>0</v>
      </c>
    </row>
    <row r="7">
      <c r="A7" s="279">
        <f t="shared" si="4"/>
        <v>46249</v>
      </c>
      <c r="B7" s="280">
        <f t="shared" si="1"/>
        <v>15</v>
      </c>
      <c r="C7" s="215">
        <f>SUMIFS(Entradas[Valores],Entradas[Data do Recebimento],"&gt;="&amp;A7,Entradas[Data do Recebimento],"&lt;"&amp;A7+1,Entradas[Centro de Custos], IF($F$1="Todos", "&lt;&gt;-", $F$1))</f>
        <v>0</v>
      </c>
      <c r="D7" s="281">
        <f>SUMIFS(Saidas[Valores],Saidas[Data do Pagamento],"&gt;="&amp;A7,Saidas[Data do Pagamento],"&lt;"&amp;A7+1,Saidas[Centro de Custos], IF($F$1="Todos", "&lt;&gt;-", $F$1))</f>
        <v>0</v>
      </c>
      <c r="E7" s="281">
        <f t="shared" si="5"/>
        <v>24615</v>
      </c>
      <c r="G7" s="282">
        <f t="shared" si="6"/>
        <v>46204</v>
      </c>
      <c r="H7" s="277" t="str">
        <f t="shared" si="2"/>
        <v>jul.-2026</v>
      </c>
      <c r="I7" s="105">
        <f>SUMIFS(Entradas[Valores],Entradas[Data da Competência],"&gt;="&amp;G7,Entradas[Data da Competência],"&lt;"&amp;EDATE(G7,1),Entradas[Centro de Custos], IF($F$1="Todos", "&lt;&gt;-", $F$1))</f>
        <v>0</v>
      </c>
      <c r="J7" s="105">
        <f>SUMIFS(Saidas[Valores],Saidas[Data da Competência],"&gt;="&amp;G7,Saidas[Data da Competência],"&lt;"&amp;EDATE(G7,1),Saidas[Centro de Custos], IF($F$1="Todos", "&lt;&gt;-", $F$1))</f>
        <v>0</v>
      </c>
      <c r="K7" s="105">
        <f t="shared" si="3"/>
        <v>0</v>
      </c>
      <c r="M7" s="277"/>
      <c r="N7" s="105">
        <f>SUMIFS(Entradas[Valores],Entradas[Cliente],M7,Entradas[Data da Competência],"&gt;="&amp;RESUMO!$C$4,Entradas[Data da Competência],"&lt;"&amp;RESUMO!$D$5,Entradas[Centro de Custos],X!$E$14,Entradas[Status],X!$E$13)</f>
        <v>0</v>
      </c>
      <c r="P7" s="277"/>
      <c r="Q7" s="105">
        <f>SUMIFS(Saidas[Valores],Saidas[Fornecedor],P7,Saidas[Data da Competência],"&gt;="&amp;RESUMO!$C$4,Saidas[Data da Competência],"&lt;"&amp;RESUMO!$D$5,Saidas[Centro de Custos],X!$E$14,Saidas[Status],X!$E$13)</f>
        <v>0</v>
      </c>
    </row>
    <row r="8">
      <c r="A8" s="279">
        <f t="shared" si="4"/>
        <v>46250</v>
      </c>
      <c r="B8" s="280">
        <f t="shared" si="1"/>
        <v>16</v>
      </c>
      <c r="C8" s="215">
        <f>SUMIFS(Entradas[Valores],Entradas[Data do Recebimento],"&gt;="&amp;A8,Entradas[Data do Recebimento],"&lt;"&amp;A8+1,Entradas[Centro de Custos], IF($F$1="Todos", "&lt;&gt;-", $F$1))</f>
        <v>0</v>
      </c>
      <c r="D8" s="281">
        <f>SUMIFS(Saidas[Valores],Saidas[Data do Pagamento],"&gt;="&amp;A8,Saidas[Data do Pagamento],"&lt;"&amp;A8+1,Saidas[Centro de Custos], IF($F$1="Todos", "&lt;&gt;-", $F$1))</f>
        <v>0</v>
      </c>
      <c r="E8" s="281">
        <f t="shared" si="5"/>
        <v>24615</v>
      </c>
      <c r="G8" s="282">
        <f t="shared" si="6"/>
        <v>46235</v>
      </c>
      <c r="H8" s="277" t="str">
        <f t="shared" si="2"/>
        <v>ago.-2026</v>
      </c>
      <c r="I8" s="105">
        <f>SUMIFS(Entradas[Valores],Entradas[Data da Competência],"&gt;="&amp;G8,Entradas[Data da Competência],"&lt;"&amp;EDATE(G8,1),Entradas[Centro de Custos], IF($F$1="Todos", "&lt;&gt;-", $F$1))</f>
        <v>0</v>
      </c>
      <c r="J8" s="105">
        <f>SUMIFS(Saidas[Valores],Saidas[Data da Competência],"&gt;="&amp;G8,Saidas[Data da Competência],"&lt;"&amp;EDATE(G8,1),Saidas[Centro de Custos], IF($F$1="Todos", "&lt;&gt;-", $F$1))</f>
        <v>0</v>
      </c>
      <c r="K8" s="105">
        <f t="shared" si="3"/>
        <v>0</v>
      </c>
      <c r="M8" s="277"/>
      <c r="N8" s="105">
        <f>SUMIFS(Entradas[Valores],Entradas[Cliente],M8,Entradas[Data da Competência],"&gt;="&amp;RESUMO!$C$4,Entradas[Data da Competência],"&lt;"&amp;RESUMO!$D$5,Entradas[Centro de Custos],X!$E$14,Entradas[Status],X!$E$13)</f>
        <v>0</v>
      </c>
      <c r="P8" s="277"/>
      <c r="Q8" s="105">
        <f>SUMIFS(Saidas[Valores],Saidas[Fornecedor],P8,Saidas[Data da Competência],"&gt;="&amp;RESUMO!$C$4,Saidas[Data da Competência],"&lt;"&amp;RESUMO!$D$5,Saidas[Centro de Custos],X!$E$14,Saidas[Status],X!$E$13)</f>
        <v>0</v>
      </c>
    </row>
    <row r="9">
      <c r="A9" s="279">
        <f t="shared" si="4"/>
        <v>46251</v>
      </c>
      <c r="B9" s="280">
        <f t="shared" si="1"/>
        <v>17</v>
      </c>
      <c r="C9" s="215">
        <f>SUMIFS(Entradas[Valores],Entradas[Data do Recebimento],"&gt;="&amp;A9,Entradas[Data do Recebimento],"&lt;"&amp;A9+1,Entradas[Centro de Custos], IF($F$1="Todos", "&lt;&gt;-", $F$1))</f>
        <v>0</v>
      </c>
      <c r="D9" s="281">
        <f>SUMIFS(Saidas[Valores],Saidas[Data do Pagamento],"&gt;="&amp;A9,Saidas[Data do Pagamento],"&lt;"&amp;A9+1,Saidas[Centro de Custos], IF($F$1="Todos", "&lt;&gt;-", $F$1))</f>
        <v>0</v>
      </c>
      <c r="E9" s="281">
        <f t="shared" si="5"/>
        <v>24615</v>
      </c>
      <c r="M9" s="277"/>
      <c r="N9" s="105">
        <f>SUMIFS(Entradas[Valores],Entradas[Cliente],M9,Entradas[Data da Competência],"&gt;="&amp;RESUMO!$C$4,Entradas[Data da Competência],"&lt;"&amp;RESUMO!$D$5,Entradas[Centro de Custos],X!$E$14,Entradas[Status],X!$E$13)</f>
        <v>0</v>
      </c>
      <c r="P9" s="277"/>
      <c r="Q9" s="105">
        <f>SUMIFS(Saidas[Valores],Saidas[Fornecedor],P9,Saidas[Data da Competência],"&gt;="&amp;RESUMO!$C$4,Saidas[Data da Competência],"&lt;"&amp;RESUMO!$D$5,Saidas[Centro de Custos],X!$E$14,Saidas[Status],X!$E$13)</f>
        <v>0</v>
      </c>
      <c r="U9" s="193" t="s">
        <v>225</v>
      </c>
      <c r="V9" s="12"/>
    </row>
    <row r="10">
      <c r="A10" s="279">
        <f t="shared" si="4"/>
        <v>46252</v>
      </c>
      <c r="B10" s="280">
        <f t="shared" si="1"/>
        <v>18</v>
      </c>
      <c r="C10" s="215">
        <f>SUMIFS(Entradas[Valores],Entradas[Data do Recebimento],"&gt;="&amp;A10,Entradas[Data do Recebimento],"&lt;"&amp;A10+1,Entradas[Centro de Custos], IF($F$1="Todos", "&lt;&gt;-", $F$1))</f>
        <v>0</v>
      </c>
      <c r="D10" s="281">
        <f>SUMIFS(Saidas[Valores],Saidas[Data do Pagamento],"&gt;="&amp;A10,Saidas[Data do Pagamento],"&lt;"&amp;A10+1,Saidas[Centro de Custos], IF($F$1="Todos", "&lt;&gt;-", $F$1))</f>
        <v>0</v>
      </c>
      <c r="E10" s="281">
        <f t="shared" si="5"/>
        <v>24615</v>
      </c>
      <c r="M10" s="277"/>
      <c r="N10" s="105">
        <f>SUMIFS(Entradas[Valores],Entradas[Cliente],M10,Entradas[Data da Competência],"&gt;="&amp;RESUMO!$C$4,Entradas[Data da Competência],"&lt;"&amp;RESUMO!$D$5,Entradas[Centro de Custos],X!$E$14,Entradas[Status],X!$E$13)</f>
        <v>0</v>
      </c>
      <c r="P10" s="277"/>
      <c r="Q10" s="105">
        <f>SUMIFS(Saidas[Valores],Saidas[Fornecedor],P10,Saidas[Data da Competência],"&gt;="&amp;RESUMO!$C$4,Saidas[Data da Competência],"&lt;"&amp;RESUMO!$D$5,Saidas[Centro de Custos],X!$E$14,Saidas[Status],X!$E$13)</f>
        <v>0</v>
      </c>
      <c r="U10" s="205" t="str">
        <f>X!V6</f>
        <v>Deduções sobre vendas</v>
      </c>
      <c r="V10" s="203">
        <f>SUMIFS(Saidas[Valores],Saidas[Categoria],U10,Saidas[Data da Competência],"&gt;="&amp;MesAtual,Saidas[Data da Competência],"&lt;"&amp;EDATE(MesAtual,1))</f>
        <v>0</v>
      </c>
    </row>
    <row r="11">
      <c r="A11" s="279">
        <f t="shared" si="4"/>
        <v>46253</v>
      </c>
      <c r="B11" s="280">
        <f t="shared" si="1"/>
        <v>19</v>
      </c>
      <c r="C11" s="215">
        <f>SUMIFS(Entradas[Valores],Entradas[Data do Recebimento],"&gt;="&amp;A11,Entradas[Data do Recebimento],"&lt;"&amp;A11+1,Entradas[Centro de Custos], IF($F$1="Todos", "&lt;&gt;-", $F$1))</f>
        <v>0</v>
      </c>
      <c r="D11" s="281">
        <f>SUMIFS(Saidas[Valores],Saidas[Data do Pagamento],"&gt;="&amp;A11,Saidas[Data do Pagamento],"&lt;"&amp;A11+1,Saidas[Centro de Custos], IF($F$1="Todos", "&lt;&gt;-", $F$1))</f>
        <v>0</v>
      </c>
      <c r="E11" s="281">
        <f t="shared" si="5"/>
        <v>24615</v>
      </c>
      <c r="M11" s="277"/>
      <c r="N11" s="105">
        <f>SUMIFS(Entradas[Valores],Entradas[Cliente],M11,Entradas[Data da Competência],"&gt;="&amp;RESUMO!$C$4,Entradas[Data da Competência],"&lt;"&amp;RESUMO!$D$5,Entradas[Centro de Custos],X!$E$14,Entradas[Status],X!$E$13)</f>
        <v>0</v>
      </c>
      <c r="P11" s="277"/>
      <c r="Q11" s="105">
        <f>SUMIFS(Saidas[Valores],Saidas[Fornecedor],P11,Saidas[Data da Competência],"&gt;="&amp;RESUMO!$C$4,Saidas[Data da Competência],"&lt;"&amp;RESUMO!$D$5,Saidas[Centro de Custos],X!$E$14,Saidas[Status],X!$E$13)</f>
        <v>0</v>
      </c>
      <c r="U11" s="205" t="str">
        <f>X!V7</f>
        <v>Custo das Vendas</v>
      </c>
      <c r="V11" s="203">
        <f>SUMIFS(Saidas[Valores],Saidas[Categoria],U11,Saidas[Data da Competência],"&gt;="&amp;MesAtual,Saidas[Data da Competência],"&lt;"&amp;EDATE(MesAtual,1))</f>
        <v>0</v>
      </c>
    </row>
    <row r="12">
      <c r="A12" s="279">
        <f t="shared" si="4"/>
        <v>46254</v>
      </c>
      <c r="B12" s="280">
        <f t="shared" si="1"/>
        <v>20</v>
      </c>
      <c r="C12" s="215">
        <f>SUMIFS(Entradas[Valores],Entradas[Data do Recebimento],"&gt;="&amp;A12,Entradas[Data do Recebimento],"&lt;"&amp;A12+1,Entradas[Centro de Custos], IF($F$1="Todos", "&lt;&gt;-", $F$1))</f>
        <v>0</v>
      </c>
      <c r="D12" s="281">
        <f>SUMIFS(Saidas[Valores],Saidas[Data do Pagamento],"&gt;="&amp;A12,Saidas[Data do Pagamento],"&lt;"&amp;A12+1,Saidas[Centro de Custos], IF($F$1="Todos", "&lt;&gt;-", $F$1))</f>
        <v>0</v>
      </c>
      <c r="E12" s="281">
        <f t="shared" si="5"/>
        <v>24615</v>
      </c>
      <c r="M12" s="277"/>
      <c r="N12" s="105">
        <f>SUMIFS(Entradas[Valores],Entradas[Cliente],M12,Entradas[Data da Competência],"&gt;="&amp;RESUMO!$C$4,Entradas[Data da Competência],"&lt;"&amp;RESUMO!$D$5,Entradas[Centro de Custos],X!$E$14,Entradas[Status],X!$E$13)</f>
        <v>0</v>
      </c>
      <c r="P12" s="277"/>
      <c r="Q12" s="105">
        <f>SUMIFS(Saidas[Valores],Saidas[Fornecedor],P12,Saidas[Data da Competência],"&gt;="&amp;RESUMO!$C$4,Saidas[Data da Competência],"&lt;"&amp;RESUMO!$D$5,Saidas[Centro de Custos],X!$E$14,Saidas[Status],X!$E$13)</f>
        <v>0</v>
      </c>
      <c r="U12" s="205" t="str">
        <f>X!V8</f>
        <v>Despesas administrativas</v>
      </c>
      <c r="V12" s="203">
        <f>SUMIFS(Saidas[Valores],Saidas[Categoria],U12,Saidas[Data da Competência],"&gt;="&amp;MesAtual,Saidas[Data da Competência],"&lt;"&amp;EDATE(MesAtual,1))</f>
        <v>0</v>
      </c>
    </row>
    <row r="13">
      <c r="A13" s="279">
        <f t="shared" si="4"/>
        <v>46255</v>
      </c>
      <c r="B13" s="280">
        <f t="shared" si="1"/>
        <v>21</v>
      </c>
      <c r="C13" s="215">
        <f>SUMIFS(Entradas[Valores],Entradas[Data do Recebimento],"&gt;="&amp;A13,Entradas[Data do Recebimento],"&lt;"&amp;A13+1,Entradas[Centro de Custos], IF($F$1="Todos", "&lt;&gt;-", $F$1))</f>
        <v>0</v>
      </c>
      <c r="D13" s="281">
        <f>SUMIFS(Saidas[Valores],Saidas[Data do Pagamento],"&gt;="&amp;A13,Saidas[Data do Pagamento],"&lt;"&amp;A13+1,Saidas[Centro de Custos], IF($F$1="Todos", "&lt;&gt;-", $F$1))</f>
        <v>0</v>
      </c>
      <c r="E13" s="281">
        <f t="shared" si="5"/>
        <v>24615</v>
      </c>
      <c r="M13" s="277"/>
      <c r="N13" s="105">
        <f>SUMIFS(Entradas[Valores],Entradas[Cliente],M13,Entradas[Data da Competência],"&gt;="&amp;RESUMO!$C$4,Entradas[Data da Competência],"&lt;"&amp;RESUMO!$D$5,Entradas[Centro de Custos],X!$E$14,Entradas[Status],X!$E$13)</f>
        <v>0</v>
      </c>
      <c r="P13" s="277"/>
      <c r="Q13" s="105">
        <f>SUMIFS(Saidas[Valores],Saidas[Fornecedor],P13,Saidas[Data da Competência],"&gt;="&amp;RESUMO!$C$4,Saidas[Data da Competência],"&lt;"&amp;RESUMO!$D$5,Saidas[Centro de Custos],X!$E$14,Saidas[Status],X!$E$13)</f>
        <v>0</v>
      </c>
      <c r="U13" s="205" t="str">
        <f>X!V9</f>
        <v>Despesa com Pessoal</v>
      </c>
      <c r="V13" s="203">
        <f>SUMIFS(Saidas[Valores],Saidas[Categoria],U13,Saidas[Data da Competência],"&gt;="&amp;MesAtual,Saidas[Data da Competência],"&lt;"&amp;EDATE(MesAtual,1))</f>
        <v>0</v>
      </c>
    </row>
    <row r="14">
      <c r="A14" s="279">
        <f t="shared" si="4"/>
        <v>46256</v>
      </c>
      <c r="B14" s="280">
        <f t="shared" si="1"/>
        <v>22</v>
      </c>
      <c r="C14" s="215">
        <f>SUMIFS(Entradas[Valores],Entradas[Data do Recebimento],"&gt;="&amp;A14,Entradas[Data do Recebimento],"&lt;"&amp;A14+1,Entradas[Centro de Custos], IF($F$1="Todos", "&lt;&gt;-", $F$1))</f>
        <v>0</v>
      </c>
      <c r="D14" s="281">
        <f>SUMIFS(Saidas[Valores],Saidas[Data do Pagamento],"&gt;="&amp;A14,Saidas[Data do Pagamento],"&lt;"&amp;A14+1,Saidas[Centro de Custos], IF($F$1="Todos", "&lt;&gt;-", $F$1))</f>
        <v>0</v>
      </c>
      <c r="E14" s="281">
        <f t="shared" si="5"/>
        <v>24615</v>
      </c>
      <c r="M14" s="277"/>
      <c r="N14" s="105">
        <f>SUMIFS(Entradas[Valores],Entradas[Cliente],M14,Entradas[Data da Competência],"&gt;="&amp;RESUMO!$C$4,Entradas[Data da Competência],"&lt;"&amp;RESUMO!$D$5,Entradas[Centro de Custos],X!$E$14,Entradas[Status],X!$E$13)</f>
        <v>0</v>
      </c>
      <c r="P14" s="277"/>
      <c r="Q14" s="105">
        <f>SUMIFS(Saidas[Valores],Saidas[Fornecedor],P14,Saidas[Data da Competência],"&gt;="&amp;RESUMO!$C$4,Saidas[Data da Competência],"&lt;"&amp;RESUMO!$D$5,Saidas[Centro de Custos],X!$E$14,Saidas[Status],X!$E$13)</f>
        <v>0</v>
      </c>
      <c r="U14" s="205" t="str">
        <f>X!V11</f>
        <v>Despesa Financeira</v>
      </c>
      <c r="V14" s="203">
        <f>SUMIFS(Saidas[Valores],Saidas[Categoria],U14,Saidas[Data da Competência],"&gt;="&amp;MesAtual,Saidas[Data da Competência],"&lt;"&amp;EDATE(MesAtual,1))</f>
        <v>0</v>
      </c>
    </row>
    <row r="15">
      <c r="A15" s="279">
        <f t="shared" si="4"/>
        <v>46257</v>
      </c>
      <c r="B15" s="280">
        <f t="shared" si="1"/>
        <v>23</v>
      </c>
      <c r="C15" s="215">
        <f>SUMIFS(Entradas[Valores],Entradas[Data do Recebimento],"&gt;="&amp;A15,Entradas[Data do Recebimento],"&lt;"&amp;A15+1,Entradas[Centro de Custos], IF($F$1="Todos", "&lt;&gt;-", $F$1))</f>
        <v>0</v>
      </c>
      <c r="D15" s="281">
        <f>SUMIFS(Saidas[Valores],Saidas[Data do Pagamento],"&gt;="&amp;A15,Saidas[Data do Pagamento],"&lt;"&amp;A15+1,Saidas[Centro de Custos], IF($F$1="Todos", "&lt;&gt;-", $F$1))</f>
        <v>0</v>
      </c>
      <c r="E15" s="281">
        <f t="shared" si="5"/>
        <v>24615</v>
      </c>
      <c r="M15" s="277"/>
      <c r="N15" s="105">
        <f>SUMIFS(Entradas[Valores],Entradas[Cliente],M15,Entradas[Data da Competência],"&gt;="&amp;RESUMO!$C$4,Entradas[Data da Competência],"&lt;"&amp;RESUMO!$D$5,Entradas[Centro de Custos],X!$E$14,Entradas[Status],X!$E$13)</f>
        <v>0</v>
      </c>
      <c r="P15" s="277"/>
      <c r="Q15" s="105">
        <f>SUMIFS(Saidas[Valores],Saidas[Fornecedor],P15,Saidas[Data da Competência],"&gt;="&amp;RESUMO!$C$4,Saidas[Data da Competência],"&lt;"&amp;RESUMO!$D$5,Saidas[Centro de Custos],X!$E$14,Saidas[Status],X!$E$13)</f>
        <v>0</v>
      </c>
      <c r="U15" s="205" t="str">
        <f>X!V12</f>
        <v>Despesas não operacionais</v>
      </c>
      <c r="V15" s="203">
        <f>SUMIFS(Saidas[Valores],Saidas[Categoria],U15,Saidas[Data da Competência],"&gt;="&amp;MesAtual,Saidas[Data da Competência],"&lt;"&amp;EDATE(MesAtual,1))</f>
        <v>0</v>
      </c>
    </row>
    <row r="16">
      <c r="A16" s="279">
        <f t="shared" si="4"/>
        <v>46258</v>
      </c>
      <c r="B16" s="280">
        <f t="shared" si="1"/>
        <v>24</v>
      </c>
      <c r="C16" s="215">
        <f>SUMIFS(Entradas[Valores],Entradas[Data do Recebimento],"&gt;="&amp;A16,Entradas[Data do Recebimento],"&lt;"&amp;A16+1,Entradas[Centro de Custos], IF($F$1="Todos", "&lt;&gt;-", $F$1))</f>
        <v>0</v>
      </c>
      <c r="D16" s="281">
        <f>SUMIFS(Saidas[Valores],Saidas[Data do Pagamento],"&gt;="&amp;A16,Saidas[Data do Pagamento],"&lt;"&amp;A16+1,Saidas[Centro de Custos], IF($F$1="Todos", "&lt;&gt;-", $F$1))</f>
        <v>0</v>
      </c>
      <c r="E16" s="281">
        <f t="shared" si="5"/>
        <v>24615</v>
      </c>
      <c r="M16" s="277"/>
      <c r="N16" s="105">
        <f>SUMIFS(Entradas[Valores],Entradas[Cliente],M16,Entradas[Data da Competência],"&gt;="&amp;RESUMO!$C$4,Entradas[Data da Competência],"&lt;"&amp;RESUMO!$D$5,Entradas[Centro de Custos],X!$E$14,Entradas[Status],X!$E$13)</f>
        <v>0</v>
      </c>
      <c r="P16" s="277"/>
      <c r="Q16" s="105">
        <f>SUMIFS(Saidas[Valores],Saidas[Fornecedor],P16,Saidas[Data da Competência],"&gt;="&amp;RESUMO!$C$4,Saidas[Data da Competência],"&lt;"&amp;RESUMO!$D$5,Saidas[Centro de Custos],X!$E$14,Saidas[Status],X!$E$13)</f>
        <v>0</v>
      </c>
      <c r="U16" s="205" t="str">
        <f>X!V13</f>
        <v>Impostos</v>
      </c>
      <c r="V16" s="203">
        <f>SUMIFS(Saidas[Valores],Saidas[Categoria],U16,Saidas[Data da Competência],"&gt;="&amp;MesAtual,Saidas[Data da Competência],"&lt;"&amp;EDATE(MesAtual,1))</f>
        <v>0</v>
      </c>
    </row>
    <row r="17">
      <c r="A17" s="279">
        <f t="shared" si="4"/>
        <v>46259</v>
      </c>
      <c r="B17" s="280">
        <f t="shared" si="1"/>
        <v>25</v>
      </c>
      <c r="C17" s="215">
        <f>SUMIFS(Entradas[Valores],Entradas[Data do Recebimento],"&gt;="&amp;A17,Entradas[Data do Recebimento],"&lt;"&amp;A17+1,Entradas[Centro de Custos], IF($F$1="Todos", "&lt;&gt;-", $F$1))</f>
        <v>0</v>
      </c>
      <c r="D17" s="281">
        <f>SUMIFS(Saidas[Valores],Saidas[Data do Pagamento],"&gt;="&amp;A17,Saidas[Data do Pagamento],"&lt;"&amp;A17+1,Saidas[Centro de Custos], IF($F$1="Todos", "&lt;&gt;-", $F$1))</f>
        <v>0</v>
      </c>
      <c r="E17" s="281">
        <f t="shared" si="5"/>
        <v>24615</v>
      </c>
      <c r="M17" s="277"/>
      <c r="N17" s="105">
        <f>SUMIFS(Entradas[Valores],Entradas[Cliente],M17,Entradas[Data da Competência],"&gt;="&amp;RESUMO!$C$4,Entradas[Data da Competência],"&lt;"&amp;RESUMO!$D$5,Entradas[Centro de Custos],X!$E$14,Entradas[Status],X!$E$13)</f>
        <v>0</v>
      </c>
      <c r="P17" s="277"/>
      <c r="Q17" s="105">
        <f>SUMIFS(Saidas[Valores],Saidas[Fornecedor],P17,Saidas[Data da Competência],"&gt;="&amp;RESUMO!$C$4,Saidas[Data da Competência],"&lt;"&amp;RESUMO!$D$5,Saidas[Centro de Custos],X!$E$14,Saidas[Status],X!$E$13)</f>
        <v>0</v>
      </c>
      <c r="U17" s="205" t="str">
        <f>X!V14</f>
        <v>Participação e Dividendos</v>
      </c>
      <c r="V17" s="203">
        <f>SUMIFS(Saidas[Valores],Saidas[Categoria],U17,Saidas[Data da Competência],"&gt;="&amp;MesAtual,Saidas[Data da Competência],"&lt;"&amp;EDATE(MesAtual,1))</f>
        <v>0</v>
      </c>
    </row>
    <row r="18">
      <c r="A18" s="305"/>
      <c r="E18" s="281"/>
      <c r="M18" s="277"/>
      <c r="N18" s="105">
        <f>SUMIFS(Entradas[Valores],Entradas[Cliente],M18,Entradas[Data da Competência],"&gt;="&amp;RESUMO!$C$4,Entradas[Data da Competência],"&lt;"&amp;RESUMO!$D$5,Entradas[Centro de Custos],X!$E$14,Entradas[Status],X!$E$13)</f>
        <v>0</v>
      </c>
      <c r="P18" s="277"/>
      <c r="Q18" s="105">
        <f>SUMIFS(Saidas[Valores],Saidas[Fornecedor],P18,Saidas[Data da Competência],"&gt;="&amp;RESUMO!$C$4,Saidas[Data da Competência],"&lt;"&amp;RESUMO!$D$5,Saidas[Centro de Custos],X!$E$14,Saidas[Status],X!$E$13)</f>
        <v>0</v>
      </c>
      <c r="U18" s="205" t="str">
        <f>#REF!</f>
        <v>#REF!</v>
      </c>
      <c r="V18" s="203">
        <f>SUMIFS(Saidas[Valores],Saidas[Categoria],U18,Saidas[Data da Competência],"&gt;="&amp;MesAtual,Saidas[Data da Competência],"&lt;"&amp;EDATE(MesAtual,1))</f>
        <v>0</v>
      </c>
    </row>
    <row r="19">
      <c r="M19" s="277"/>
      <c r="N19" s="105">
        <f>SUMIFS(Entradas[Valores],Entradas[Cliente],M19,Entradas[Data da Competência],"&gt;="&amp;RESUMO!$C$4,Entradas[Data da Competência],"&lt;"&amp;RESUMO!$D$5,Entradas[Centro de Custos],X!$E$14,Entradas[Status],X!$E$13)</f>
        <v>0</v>
      </c>
      <c r="P19" s="277"/>
      <c r="Q19" s="105">
        <f>SUMIFS(Saidas[Valores],Saidas[Fornecedor],P19,Saidas[Data da Competência],"&gt;="&amp;RESUMO!$C$4,Saidas[Data da Competência],"&lt;"&amp;RESUMO!$D$5,Saidas[Centro de Custos],X!$E$14,Saidas[Status],X!$E$13)</f>
        <v>0</v>
      </c>
      <c r="U19" s="205" t="str">
        <f>X!V15</f>
        <v/>
      </c>
      <c r="V19" s="203">
        <f>SUMIFS(Saidas[Valores],Saidas[Categoria],U19,Saidas[Data da Competência],"&gt;="&amp;MesAtual,Saidas[Data da Competência],"&lt;"&amp;EDATE(MesAtual,1))</f>
        <v>0</v>
      </c>
    </row>
    <row r="20">
      <c r="M20" s="277"/>
      <c r="N20" s="105">
        <f>SUMIFS(Entradas[Valores],Entradas[Cliente],M20,Entradas[Data da Competência],"&gt;="&amp;RESUMO!$C$4,Entradas[Data da Competência],"&lt;"&amp;RESUMO!$D$5,Entradas[Centro de Custos],X!$E$14,Entradas[Status],X!$E$13)</f>
        <v>0</v>
      </c>
      <c r="P20" s="277"/>
      <c r="Q20" s="105">
        <f>SUMIFS(Saidas[Valores],Saidas[Fornecedor],P20,Saidas[Data da Competência],"&gt;="&amp;RESUMO!$C$4,Saidas[Data da Competência],"&lt;"&amp;RESUMO!$D$5,Saidas[Centro de Custos],X!$E$14,Saidas[Status],X!$E$13)</f>
        <v>0</v>
      </c>
    </row>
    <row r="21">
      <c r="M21" s="277"/>
      <c r="N21" s="105">
        <f>SUMIFS(Entradas[Valores],Entradas[Cliente],M21,Entradas[Data da Competência],"&gt;="&amp;RESUMO!$C$4,Entradas[Data da Competência],"&lt;"&amp;RESUMO!$D$5,Entradas[Centro de Custos],X!$E$14,Entradas[Status],X!$E$13)</f>
        <v>0</v>
      </c>
      <c r="P21" s="277"/>
      <c r="Q21" s="105">
        <f>SUMIFS(Saidas[Valores],Saidas[Fornecedor],P21,Saidas[Data da Competência],"&gt;="&amp;RESUMO!$C$4,Saidas[Data da Competência],"&lt;"&amp;RESUMO!$D$5,Saidas[Centro de Custos],X!$E$14,Saidas[Status],X!$E$13)</f>
        <v>0</v>
      </c>
    </row>
    <row r="22">
      <c r="M22" s="277"/>
      <c r="N22" s="105">
        <f>SUMIFS(Entradas[Valores],Entradas[Cliente],M22,Entradas[Data da Competência],"&gt;="&amp;RESUMO!$C$4,Entradas[Data da Competência],"&lt;"&amp;RESUMO!$D$5,Entradas[Centro de Custos],X!$E$14,Entradas[Status],X!$E$13)</f>
        <v>0</v>
      </c>
      <c r="P22" s="277"/>
      <c r="Q22" s="105">
        <f>SUMIFS(Saidas[Valores],Saidas[Fornecedor],P22,Saidas[Data da Competência],"&gt;="&amp;RESUMO!$C$4,Saidas[Data da Competência],"&lt;"&amp;RESUMO!$D$5,Saidas[Centro de Custos],X!$E$14,Saidas[Status],X!$E$13)</f>
        <v>0</v>
      </c>
    </row>
    <row r="23">
      <c r="M23" s="277"/>
      <c r="N23" s="105">
        <f>SUMIFS(Entradas[Valores],Entradas[Cliente],M23,Entradas[Data da Competência],"&gt;="&amp;RESUMO!$C$4,Entradas[Data da Competência],"&lt;"&amp;RESUMO!$D$5,Entradas[Centro de Custos],X!$E$14,Entradas[Status],X!$E$13)</f>
        <v>0</v>
      </c>
      <c r="P23" s="277"/>
      <c r="Q23" s="105">
        <f>SUMIFS(Saidas[Valores],Saidas[Fornecedor],P23,Saidas[Data da Competência],"&gt;="&amp;RESUMO!$C$4,Saidas[Data da Competência],"&lt;"&amp;RESUMO!$D$5,Saidas[Centro de Custos],X!$E$14,Saidas[Status],X!$E$13)</f>
        <v>0</v>
      </c>
    </row>
    <row r="24">
      <c r="M24" s="277"/>
      <c r="N24" s="105">
        <f>SUMIFS(Entradas[Valores],Entradas[Cliente],M24,Entradas[Data da Competência],"&gt;="&amp;RESUMO!$C$4,Entradas[Data da Competência],"&lt;"&amp;RESUMO!$D$5,Entradas[Centro de Custos],X!$E$14,Entradas[Status],X!$E$13)</f>
        <v>0</v>
      </c>
      <c r="P24" s="277"/>
      <c r="Q24" s="105">
        <f>SUMIFS(Saidas[Valores],Saidas[Fornecedor],P24,Saidas[Data da Competência],"&gt;="&amp;RESUMO!$C$4,Saidas[Data da Competência],"&lt;"&amp;RESUMO!$D$5,Saidas[Centro de Custos],X!$E$14,Saidas[Status],X!$E$13)</f>
        <v>0</v>
      </c>
    </row>
    <row r="25">
      <c r="M25" s="277"/>
      <c r="N25" s="105">
        <f>SUMIFS(Entradas[Valores],Entradas[Cliente],M25,Entradas[Data da Competência],"&gt;="&amp;RESUMO!$C$4,Entradas[Data da Competência],"&lt;"&amp;RESUMO!$D$5,Entradas[Centro de Custos],X!$E$14,Entradas[Status],X!$E$13)</f>
        <v>0</v>
      </c>
      <c r="P25" s="277"/>
      <c r="Q25" s="105">
        <f>SUMIFS(Saidas[Valores],Saidas[Fornecedor],P25,Saidas[Data da Competência],"&gt;="&amp;RESUMO!$C$4,Saidas[Data da Competência],"&lt;"&amp;RESUMO!$D$5,Saidas[Centro de Custos],X!$E$14,Saidas[Status],X!$E$13)</f>
        <v>0</v>
      </c>
    </row>
    <row r="26">
      <c r="M26" s="277"/>
      <c r="N26" s="105">
        <f>SUMIFS(Entradas[Valores],Entradas[Cliente],M26,Entradas[Data da Competência],"&gt;="&amp;RESUMO!$C$4,Entradas[Data da Competência],"&lt;"&amp;RESUMO!$D$5,Entradas[Centro de Custos],X!$E$14,Entradas[Status],X!$E$13)</f>
        <v>0</v>
      </c>
      <c r="P26" s="277"/>
      <c r="Q26" s="105">
        <f>SUMIFS(Saidas[Valores],Saidas[Fornecedor],P26,Saidas[Data da Competência],"&gt;="&amp;RESUMO!$C$4,Saidas[Data da Competência],"&lt;"&amp;RESUMO!$D$5,Saidas[Centro de Custos],X!$E$14,Saidas[Status],X!$E$13)</f>
        <v>0</v>
      </c>
    </row>
    <row r="27">
      <c r="M27" s="277"/>
      <c r="N27" s="105">
        <f>SUMIFS(Entradas[Valores],Entradas[Cliente],M27,Entradas[Data da Competência],"&gt;="&amp;RESUMO!$C$4,Entradas[Data da Competência],"&lt;"&amp;RESUMO!$D$5,Entradas[Centro de Custos],X!$E$14,Entradas[Status],X!$E$13)</f>
        <v>0</v>
      </c>
      <c r="P27" s="277"/>
      <c r="Q27" s="105">
        <f>SUMIFS(Saidas[Valores],Saidas[Fornecedor],P27,Saidas[Data da Competência],"&gt;="&amp;RESUMO!$C$4,Saidas[Data da Competência],"&lt;"&amp;RESUMO!$D$5,Saidas[Centro de Custos],X!$E$14,Saidas[Status],X!$E$13)</f>
        <v>0</v>
      </c>
    </row>
    <row r="28">
      <c r="M28" s="277"/>
      <c r="N28" s="105">
        <f>SUMIFS(Entradas[Valores],Entradas[Cliente],M28,Entradas[Data da Competência],"&gt;="&amp;RESUMO!$C$4,Entradas[Data da Competência],"&lt;"&amp;RESUMO!$D$5,Entradas[Centro de Custos],X!$E$14,Entradas[Status],X!$E$13)</f>
        <v>0</v>
      </c>
      <c r="P28" s="277"/>
      <c r="Q28" s="105">
        <f>SUMIFS(Saidas[Valores],Saidas[Fornecedor],P28,Saidas[Data da Competência],"&gt;="&amp;RESUMO!$C$4,Saidas[Data da Competência],"&lt;"&amp;RESUMO!$D$5,Saidas[Centro de Custos],X!$E$14,Saidas[Status],X!$E$13)</f>
        <v>0</v>
      </c>
    </row>
    <row r="29">
      <c r="M29" s="277"/>
      <c r="N29" s="105">
        <f>SUMIFS(Entradas[Valores],Entradas[Cliente],M29,Entradas[Data da Competência],"&gt;="&amp;RESUMO!$C$4,Entradas[Data da Competência],"&lt;"&amp;RESUMO!$D$5,Entradas[Centro de Custos],X!$E$14,Entradas[Status],X!$E$13)</f>
        <v>0</v>
      </c>
      <c r="P29" s="277"/>
      <c r="Q29" s="105">
        <f>SUMIFS(Saidas[Valores],Saidas[Fornecedor],P29,Saidas[Data da Competência],"&gt;="&amp;RESUMO!$C$4,Saidas[Data da Competência],"&lt;"&amp;RESUMO!$D$5,Saidas[Centro de Custos],X!$E$14,Saidas[Status],X!$E$13)</f>
        <v>0</v>
      </c>
    </row>
    <row r="30">
      <c r="M30" s="277"/>
      <c r="N30" s="105">
        <f>SUMIFS(Entradas[Valores],Entradas[Cliente],M30,Entradas[Data da Competência],"&gt;="&amp;RESUMO!$C$4,Entradas[Data da Competência],"&lt;"&amp;RESUMO!$D$5,Entradas[Centro de Custos],X!$E$14,Entradas[Status],X!$E$13)</f>
        <v>0</v>
      </c>
      <c r="P30" s="277"/>
      <c r="Q30" s="105">
        <f>SUMIFS(Saidas[Valores],Saidas[Fornecedor],P30,Saidas[Data da Competência],"&gt;="&amp;RESUMO!$C$4,Saidas[Data da Competência],"&lt;"&amp;RESUMO!$D$5,Saidas[Centro de Custos],X!$E$14,Saidas[Status],X!$E$13)</f>
        <v>0</v>
      </c>
    </row>
    <row r="31">
      <c r="M31" s="277"/>
      <c r="N31" s="105">
        <f>SUMIFS(Entradas[Valores],Entradas[Cliente],M31,Entradas[Data da Competência],"&gt;="&amp;RESUMO!$C$4,Entradas[Data da Competência],"&lt;"&amp;RESUMO!$D$5,Entradas[Centro de Custos],X!$E$14,Entradas[Status],X!$E$13)</f>
        <v>0</v>
      </c>
      <c r="P31" s="277"/>
      <c r="Q31" s="105">
        <f>SUMIFS(Saidas[Valores],Saidas[Fornecedor],P31,Saidas[Data da Competência],"&gt;="&amp;RESUMO!$C$4,Saidas[Data da Competência],"&lt;"&amp;RESUMO!$D$5,Saidas[Centro de Custos],X!$E$14,Saidas[Status],X!$E$13)</f>
        <v>0</v>
      </c>
    </row>
    <row r="32">
      <c r="M32" s="277"/>
      <c r="N32" s="105">
        <f>SUMIFS(Entradas[Valores],Entradas[Cliente],M32,Entradas[Data da Competência],"&gt;="&amp;RESUMO!$C$4,Entradas[Data da Competência],"&lt;"&amp;RESUMO!$D$5,Entradas[Centro de Custos],X!$E$14,Entradas[Status],X!$E$13)</f>
        <v>0</v>
      </c>
      <c r="P32" s="277"/>
      <c r="Q32" s="105">
        <f>SUMIFS(Saidas[Valores],Saidas[Fornecedor],P32,Saidas[Data da Competência],"&gt;="&amp;RESUMO!$C$4,Saidas[Data da Competência],"&lt;"&amp;RESUMO!$D$5,Saidas[Centro de Custos],X!$E$14,Saidas[Status],X!$E$13)</f>
        <v>0</v>
      </c>
    </row>
    <row r="33">
      <c r="M33" s="277"/>
      <c r="N33" s="105">
        <f>SUMIFS(Entradas[Valores],Entradas[Cliente],M33,Entradas[Data da Competência],"&gt;="&amp;RESUMO!$C$4,Entradas[Data da Competência],"&lt;"&amp;RESUMO!$D$5,Entradas[Centro de Custos],X!$E$14,Entradas[Status],X!$E$13)</f>
        <v>0</v>
      </c>
      <c r="P33" s="277"/>
      <c r="Q33" s="105">
        <f>SUMIFS(Saidas[Valores],Saidas[Fornecedor],P33,Saidas[Data da Competência],"&gt;="&amp;RESUMO!$C$4,Saidas[Data da Competência],"&lt;"&amp;RESUMO!$D$5,Saidas[Centro de Custos],X!$E$14,Saidas[Status],X!$E$13)</f>
        <v>0</v>
      </c>
    </row>
    <row r="34">
      <c r="M34" s="277"/>
      <c r="N34" s="105">
        <f>SUMIFS(Entradas[Valores],Entradas[Cliente],M34,Entradas[Data da Competência],"&gt;="&amp;RESUMO!$C$4,Entradas[Data da Competência],"&lt;"&amp;RESUMO!$D$5,Entradas[Centro de Custos],X!$E$14,Entradas[Status],X!$E$13)</f>
        <v>0</v>
      </c>
      <c r="P34" s="277"/>
      <c r="Q34" s="105">
        <f>SUMIFS(Saidas[Valores],Saidas[Fornecedor],P34,Saidas[Data da Competência],"&gt;="&amp;RESUMO!$C$4,Saidas[Data da Competência],"&lt;"&amp;RESUMO!$D$5,Saidas[Centro de Custos],X!$E$14,Saidas[Status],X!$E$13)</f>
        <v>0</v>
      </c>
    </row>
    <row r="35">
      <c r="M35" s="277"/>
      <c r="N35" s="105">
        <f>SUMIFS(Entradas[Valores],Entradas[Cliente],M35,Entradas[Data da Competência],"&gt;="&amp;RESUMO!$C$4,Entradas[Data da Competência],"&lt;"&amp;RESUMO!$D$5,Entradas[Centro de Custos],X!$E$14,Entradas[Status],X!$E$13)</f>
        <v>0</v>
      </c>
      <c r="P35" s="277"/>
      <c r="Q35" s="105">
        <f>SUMIFS(Saidas[Valores],Saidas[Fornecedor],P35,Saidas[Data da Competência],"&gt;="&amp;RESUMO!$C$4,Saidas[Data da Competência],"&lt;"&amp;RESUMO!$D$5,Saidas[Centro de Custos],X!$E$14,Saidas[Status],X!$E$13)</f>
        <v>0</v>
      </c>
    </row>
    <row r="36">
      <c r="M36" s="277"/>
      <c r="N36" s="105">
        <f>SUMIFS(Entradas[Valores],Entradas[Cliente],M36,Entradas[Data da Competência],"&gt;="&amp;RESUMO!$C$4,Entradas[Data da Competência],"&lt;"&amp;RESUMO!$D$5,Entradas[Centro de Custos],X!$E$14,Entradas[Status],X!$E$13)</f>
        <v>0</v>
      </c>
      <c r="P36" s="277"/>
      <c r="Q36" s="105">
        <f>SUMIFS(Saidas[Valores],Saidas[Fornecedor],P36,Saidas[Data da Competência],"&gt;="&amp;RESUMO!$C$4,Saidas[Data da Competência],"&lt;"&amp;RESUMO!$D$5,Saidas[Centro de Custos],X!$E$14,Saidas[Status],X!$E$13)</f>
        <v>0</v>
      </c>
    </row>
    <row r="37">
      <c r="M37" s="277"/>
      <c r="N37" s="105">
        <f>SUMIFS(Entradas[Valores],Entradas[Cliente],M37,Entradas[Data da Competência],"&gt;="&amp;RESUMO!$C$4,Entradas[Data da Competência],"&lt;"&amp;RESUMO!$D$5,Entradas[Centro de Custos],X!$E$14,Entradas[Status],X!$E$13)</f>
        <v>0</v>
      </c>
      <c r="P37" s="277"/>
      <c r="Q37" s="105">
        <f>SUMIFS(Saidas[Valores],Saidas[Fornecedor],P37,Saidas[Data da Competência],"&gt;="&amp;RESUMO!$C$4,Saidas[Data da Competência],"&lt;"&amp;RESUMO!$D$5,Saidas[Centro de Custos],X!$E$14,Saidas[Status],X!$E$13)</f>
        <v>0</v>
      </c>
    </row>
    <row r="38">
      <c r="M38" s="277"/>
      <c r="N38" s="105">
        <f>SUMIFS(Entradas[Valores],Entradas[Cliente],M38,Entradas[Data da Competência],"&gt;="&amp;RESUMO!$C$4,Entradas[Data da Competência],"&lt;"&amp;RESUMO!$D$5,Entradas[Centro de Custos],X!$E$14,Entradas[Status],X!$E$13)</f>
        <v>0</v>
      </c>
      <c r="P38" s="277"/>
      <c r="Q38" s="105">
        <f>SUMIFS(Saidas[Valores],Saidas[Fornecedor],P38,Saidas[Data da Competência],"&gt;="&amp;RESUMO!$C$4,Saidas[Data da Competência],"&lt;"&amp;RESUMO!$D$5,Saidas[Centro de Custos],X!$E$14,Saidas[Status],X!$E$13)</f>
        <v>0</v>
      </c>
    </row>
    <row r="39">
      <c r="M39" s="277"/>
      <c r="N39" s="105">
        <f>SUMIFS(Entradas[Valores],Entradas[Cliente],M39,Entradas[Data da Competência],"&gt;="&amp;RESUMO!$C$4,Entradas[Data da Competência],"&lt;"&amp;RESUMO!$D$5,Entradas[Centro de Custos],X!$E$14,Entradas[Status],X!$E$13)</f>
        <v>0</v>
      </c>
      <c r="P39" s="277"/>
      <c r="Q39" s="105">
        <f>SUMIFS(Saidas[Valores],Saidas[Fornecedor],P39,Saidas[Data da Competência],"&gt;="&amp;RESUMO!$C$4,Saidas[Data da Competência],"&lt;"&amp;RESUMO!$D$5,Saidas[Centro de Custos],X!$E$14,Saidas[Status],X!$E$13)</f>
        <v>0</v>
      </c>
    </row>
    <row r="40">
      <c r="M40" s="277"/>
      <c r="N40" s="105">
        <f>SUMIFS(Entradas[Valores],Entradas[Cliente],M40,Entradas[Data da Competência],"&gt;="&amp;RESUMO!$C$4,Entradas[Data da Competência],"&lt;"&amp;RESUMO!$D$5,Entradas[Centro de Custos],X!$E$14,Entradas[Status],X!$E$13)</f>
        <v>0</v>
      </c>
      <c r="P40" s="277"/>
      <c r="Q40" s="105">
        <f>SUMIFS(Saidas[Valores],Saidas[Fornecedor],P40,Saidas[Data da Competência],"&gt;="&amp;RESUMO!$C$4,Saidas[Data da Competência],"&lt;"&amp;RESUMO!$D$5,Saidas[Centro de Custos],X!$E$14,Saidas[Status],X!$E$13)</f>
        <v>0</v>
      </c>
    </row>
    <row r="41">
      <c r="M41" s="277"/>
      <c r="N41" s="105">
        <f>SUMIFS(Entradas[Valores],Entradas[Cliente],M41,Entradas[Data da Competência],"&gt;="&amp;RESUMO!$C$4,Entradas[Data da Competência],"&lt;"&amp;RESUMO!$D$5,Entradas[Centro de Custos],X!$E$14,Entradas[Status],X!$E$13)</f>
        <v>0</v>
      </c>
      <c r="P41" s="277"/>
      <c r="Q41" s="105">
        <f>SUMIFS(Saidas[Valores],Saidas[Fornecedor],P41,Saidas[Data da Competência],"&gt;="&amp;RESUMO!$C$4,Saidas[Data da Competência],"&lt;"&amp;RESUMO!$D$5,Saidas[Centro de Custos],X!$E$14,Saidas[Status],X!$E$13)</f>
        <v>0</v>
      </c>
    </row>
    <row r="42">
      <c r="M42" s="277"/>
      <c r="N42" s="105">
        <f>SUMIFS(Entradas[Valores],Entradas[Cliente],M42,Entradas[Data da Competência],"&gt;="&amp;RESUMO!$C$4,Entradas[Data da Competência],"&lt;"&amp;RESUMO!$D$5,Entradas[Centro de Custos],X!$E$14,Entradas[Status],X!$E$13)</f>
        <v>0</v>
      </c>
      <c r="P42" s="277"/>
      <c r="Q42" s="105">
        <f>SUMIFS(Saidas[Valores],Saidas[Fornecedor],P42,Saidas[Data da Competência],"&gt;="&amp;RESUMO!$C$4,Saidas[Data da Competência],"&lt;"&amp;RESUMO!$D$5,Saidas[Centro de Custos],X!$E$14,Saidas[Status],X!$E$13)</f>
        <v>0</v>
      </c>
    </row>
    <row r="43">
      <c r="M43" s="277"/>
      <c r="N43" s="105">
        <f>SUMIFS(Entradas[Valores],Entradas[Cliente],M43,Entradas[Data da Competência],"&gt;="&amp;RESUMO!$C$4,Entradas[Data da Competência],"&lt;"&amp;RESUMO!$D$5,Entradas[Centro de Custos],X!$E$14,Entradas[Status],X!$E$13)</f>
        <v>0</v>
      </c>
      <c r="P43" s="277"/>
      <c r="Q43" s="105">
        <f>SUMIFS(Saidas[Valores],Saidas[Fornecedor],P43,Saidas[Data da Competência],"&gt;="&amp;RESUMO!$C$4,Saidas[Data da Competência],"&lt;"&amp;RESUMO!$D$5,Saidas[Centro de Custos],X!$E$14,Saidas[Status],X!$E$13)</f>
        <v>0</v>
      </c>
    </row>
    <row r="44">
      <c r="M44" s="277"/>
      <c r="N44" s="105">
        <f>SUMIFS(Entradas[Valores],Entradas[Cliente],M44,Entradas[Data da Competência],"&gt;="&amp;RESUMO!$C$4,Entradas[Data da Competência],"&lt;"&amp;RESUMO!$D$5,Entradas[Centro de Custos],X!$E$14,Entradas[Status],X!$E$13)</f>
        <v>0</v>
      </c>
      <c r="P44" s="277"/>
      <c r="Q44" s="105">
        <f>SUMIFS(Saidas[Valores],Saidas[Fornecedor],P44,Saidas[Data da Competência],"&gt;="&amp;RESUMO!$C$4,Saidas[Data da Competência],"&lt;"&amp;RESUMO!$D$5,Saidas[Centro de Custos],X!$E$14,Saidas[Status],X!$E$13)</f>
        <v>0</v>
      </c>
    </row>
    <row r="45">
      <c r="M45" s="277"/>
      <c r="N45" s="105">
        <f>SUMIFS(Entradas[Valores],Entradas[Cliente],M45,Entradas[Data da Competência],"&gt;="&amp;RESUMO!$C$4,Entradas[Data da Competência],"&lt;"&amp;RESUMO!$D$5,Entradas[Centro de Custos],X!$E$14,Entradas[Status],X!$E$13)</f>
        <v>0</v>
      </c>
      <c r="P45" s="277"/>
      <c r="Q45" s="105">
        <f>SUMIFS(Saidas[Valores],Saidas[Fornecedor],P45,Saidas[Data da Competência],"&gt;="&amp;RESUMO!$C$4,Saidas[Data da Competência],"&lt;"&amp;RESUMO!$D$5,Saidas[Centro de Custos],X!$E$14,Saidas[Status],X!$E$13)</f>
        <v>0</v>
      </c>
    </row>
    <row r="46">
      <c r="M46" s="277"/>
      <c r="N46" s="105">
        <f>SUMIFS(Entradas[Valores],Entradas[Cliente],M46,Entradas[Data da Competência],"&gt;="&amp;RESUMO!$C$4,Entradas[Data da Competência],"&lt;"&amp;RESUMO!$D$5,Entradas[Centro de Custos],X!$E$14,Entradas[Status],X!$E$13)</f>
        <v>0</v>
      </c>
      <c r="P46" s="277"/>
      <c r="Q46" s="105">
        <f>SUMIFS(Saidas[Valores],Saidas[Fornecedor],P46,Saidas[Data da Competência],"&gt;="&amp;RESUMO!$C$4,Saidas[Data da Competência],"&lt;"&amp;RESUMO!$D$5,Saidas[Centro de Custos],X!$E$14,Saidas[Status],X!$E$13)</f>
        <v>0</v>
      </c>
    </row>
    <row r="47">
      <c r="M47" s="277"/>
      <c r="N47" s="105">
        <f>SUMIFS(Entradas[Valores],Entradas[Cliente],M47,Entradas[Data da Competência],"&gt;="&amp;RESUMO!$C$4,Entradas[Data da Competência],"&lt;"&amp;RESUMO!$D$5,Entradas[Centro de Custos],X!$E$14,Entradas[Status],X!$E$13)</f>
        <v>0</v>
      </c>
      <c r="P47" s="277"/>
      <c r="Q47" s="105">
        <f>SUMIFS(Saidas[Valores],Saidas[Fornecedor],P47,Saidas[Data da Competência],"&gt;="&amp;RESUMO!$C$4,Saidas[Data da Competência],"&lt;"&amp;RESUMO!$D$5,Saidas[Centro de Custos],X!$E$14,Saidas[Status],X!$E$13)</f>
        <v>0</v>
      </c>
    </row>
    <row r="48">
      <c r="M48" s="277"/>
      <c r="N48" s="105">
        <f>SUMIFS(Entradas[Valores],Entradas[Cliente],M48,Entradas[Data da Competência],"&gt;="&amp;RESUMO!$C$4,Entradas[Data da Competência],"&lt;"&amp;RESUMO!$D$5,Entradas[Centro de Custos],X!$E$14,Entradas[Status],X!$E$13)</f>
        <v>0</v>
      </c>
      <c r="P48" s="277"/>
      <c r="Q48" s="105">
        <f>SUMIFS(Saidas[Valores],Saidas[Fornecedor],P48,Saidas[Data da Competência],"&gt;="&amp;RESUMO!$C$4,Saidas[Data da Competência],"&lt;"&amp;RESUMO!$D$5,Saidas[Centro de Custos],X!$E$14,Saidas[Status],X!$E$13)</f>
        <v>0</v>
      </c>
    </row>
    <row r="49">
      <c r="M49" s="277"/>
      <c r="N49" s="105">
        <f>SUMIFS(Entradas[Valores],Entradas[Cliente],M49,Entradas[Data da Competência],"&gt;="&amp;RESUMO!$C$4,Entradas[Data da Competência],"&lt;"&amp;RESUMO!$D$5,Entradas[Centro de Custos],X!$E$14,Entradas[Status],X!$E$13)</f>
        <v>0</v>
      </c>
      <c r="P49" s="277"/>
      <c r="Q49" s="105">
        <f>SUMIFS(Saidas[Valores],Saidas[Fornecedor],P49,Saidas[Data da Competência],"&gt;="&amp;RESUMO!$C$4,Saidas[Data da Competência],"&lt;"&amp;RESUMO!$D$5,Saidas[Centro de Custos],X!$E$14,Saidas[Status],X!$E$13)</f>
        <v>0</v>
      </c>
    </row>
    <row r="50">
      <c r="M50" s="277"/>
      <c r="N50" s="105">
        <f>SUMIFS(Entradas[Valores],Entradas[Cliente],M50,Entradas[Data da Competência],"&gt;="&amp;RESUMO!$C$4,Entradas[Data da Competência],"&lt;"&amp;RESUMO!$D$5,Entradas[Centro de Custos],X!$E$14,Entradas[Status],X!$E$13)</f>
        <v>0</v>
      </c>
      <c r="P50" s="277"/>
      <c r="Q50" s="105">
        <f>SUMIFS(Saidas[Valores],Saidas[Fornecedor],P50,Saidas[Data da Competência],"&gt;="&amp;RESUMO!$C$4,Saidas[Data da Competência],"&lt;"&amp;RESUMO!$D$5,Saidas[Centro de Custos],X!$E$14,Saidas[Status],X!$E$13)</f>
        <v>0</v>
      </c>
    </row>
    <row r="51">
      <c r="M51" s="277"/>
      <c r="N51" s="105">
        <f>SUMIFS(Entradas[Valores],Entradas[Cliente],M51,Entradas[Data da Competência],"&gt;="&amp;RESUMO!$C$4,Entradas[Data da Competência],"&lt;"&amp;RESUMO!$D$5,Entradas[Centro de Custos],X!$E$14,Entradas[Status],X!$E$13)</f>
        <v>0</v>
      </c>
      <c r="P51" s="277"/>
      <c r="Q51" s="105">
        <f>SUMIFS(Saidas[Valores],Saidas[Fornecedor],P51,Saidas[Data da Competência],"&gt;="&amp;RESUMO!$C$4,Saidas[Data da Competência],"&lt;"&amp;RESUMO!$D$5,Saidas[Centro de Custos],X!$E$14,Saidas[Status],X!$E$13)</f>
        <v>0</v>
      </c>
    </row>
    <row r="52">
      <c r="M52" s="277"/>
      <c r="N52" s="105">
        <f>SUMIFS(Entradas[Valores],Entradas[Cliente],M52,Entradas[Data da Competência],"&gt;="&amp;RESUMO!$C$4,Entradas[Data da Competência],"&lt;"&amp;RESUMO!$D$5,Entradas[Centro de Custos],X!$E$14,Entradas[Status],X!$E$13)</f>
        <v>0</v>
      </c>
      <c r="P52" s="277"/>
      <c r="Q52" s="105">
        <f>SUMIFS(Saidas[Valores],Saidas[Fornecedor],P52,Saidas[Data da Competência],"&gt;="&amp;RESUMO!$C$4,Saidas[Data da Competência],"&lt;"&amp;RESUMO!$D$5,Saidas[Centro de Custos],X!$E$14,Saidas[Status],X!$E$13)</f>
        <v>0</v>
      </c>
    </row>
    <row r="53">
      <c r="M53" s="277"/>
      <c r="N53" s="105">
        <f>SUMIFS(Entradas[Valores],Entradas[Cliente],M53,Entradas[Data da Competência],"&gt;="&amp;RESUMO!$C$4,Entradas[Data da Competência],"&lt;"&amp;RESUMO!$D$5,Entradas[Centro de Custos],X!$E$14,Entradas[Status],X!$E$13)</f>
        <v>0</v>
      </c>
      <c r="P53" s="277"/>
      <c r="Q53" s="105">
        <f>SUMIFS(Saidas[Valores],Saidas[Fornecedor],P53,Saidas[Data da Competência],"&gt;="&amp;RESUMO!$C$4,Saidas[Data da Competência],"&lt;"&amp;RESUMO!$D$5,Saidas[Centro de Custos],X!$E$14,Saidas[Status],X!$E$13)</f>
        <v>0</v>
      </c>
    </row>
    <row r="54">
      <c r="M54" s="277"/>
      <c r="N54" s="105">
        <f>SUMIFS(Entradas[Valores],Entradas[Cliente],M54,Entradas[Data da Competência],"&gt;="&amp;RESUMO!$C$4,Entradas[Data da Competência],"&lt;"&amp;RESUMO!$D$5,Entradas[Centro de Custos],X!$E$14,Entradas[Status],X!$E$13)</f>
        <v>0</v>
      </c>
      <c r="P54" s="277"/>
      <c r="Q54" s="105">
        <f>SUMIFS(Saidas[Valores],Saidas[Fornecedor],P54,Saidas[Data da Competência],"&gt;="&amp;RESUMO!$C$4,Saidas[Data da Competência],"&lt;"&amp;RESUMO!$D$5,Saidas[Centro de Custos],X!$E$14,Saidas[Status],X!$E$13)</f>
        <v>0</v>
      </c>
    </row>
    <row r="55">
      <c r="M55" s="277"/>
      <c r="N55" s="105">
        <f>SUMIFS(Entradas[Valores],Entradas[Cliente],M55,Entradas[Data da Competência],"&gt;="&amp;RESUMO!$C$4,Entradas[Data da Competência],"&lt;"&amp;RESUMO!$D$5,Entradas[Centro de Custos],X!$E$14,Entradas[Status],X!$E$13)</f>
        <v>0</v>
      </c>
      <c r="P55" s="277"/>
      <c r="Q55" s="105">
        <f>SUMIFS(Saidas[Valores],Saidas[Fornecedor],P55,Saidas[Data da Competência],"&gt;="&amp;RESUMO!$C$4,Saidas[Data da Competência],"&lt;"&amp;RESUMO!$D$5,Saidas[Centro de Custos],X!$E$14,Saidas[Status],X!$E$13)</f>
        <v>0</v>
      </c>
    </row>
    <row r="56">
      <c r="M56" s="277"/>
      <c r="N56" s="105">
        <f>SUMIFS(Entradas[Valores],Entradas[Cliente],M56,Entradas[Data da Competência],"&gt;="&amp;RESUMO!$C$4,Entradas[Data da Competência],"&lt;"&amp;RESUMO!$D$5,Entradas[Centro de Custos],X!$E$14,Entradas[Status],X!$E$13)</f>
        <v>0</v>
      </c>
      <c r="P56" s="277"/>
      <c r="Q56" s="105">
        <f>SUMIFS(Saidas[Valores],Saidas[Fornecedor],P56,Saidas[Data da Competência],"&gt;="&amp;RESUMO!$C$4,Saidas[Data da Competência],"&lt;"&amp;RESUMO!$D$5,Saidas[Centro de Custos],X!$E$14,Saidas[Status],X!$E$13)</f>
        <v>0</v>
      </c>
    </row>
    <row r="57">
      <c r="M57" s="277"/>
      <c r="N57" s="105">
        <f>SUMIFS(Entradas[Valores],Entradas[Cliente],M57,Entradas[Data da Competência],"&gt;="&amp;RESUMO!$C$4,Entradas[Data da Competência],"&lt;"&amp;RESUMO!$D$5,Entradas[Centro de Custos],X!$E$14,Entradas[Status],X!$E$13)</f>
        <v>0</v>
      </c>
      <c r="P57" s="277"/>
      <c r="Q57" s="105">
        <f>SUMIFS(Saidas[Valores],Saidas[Fornecedor],P57,Saidas[Data da Competência],"&gt;="&amp;RESUMO!$C$4,Saidas[Data da Competência],"&lt;"&amp;RESUMO!$D$5,Saidas[Centro de Custos],X!$E$14,Saidas[Status],X!$E$13)</f>
        <v>0</v>
      </c>
    </row>
    <row r="58">
      <c r="M58" s="277"/>
      <c r="N58" s="105">
        <f>SUMIFS(Entradas[Valores],Entradas[Cliente],M58,Entradas[Data da Competência],"&gt;="&amp;RESUMO!$C$4,Entradas[Data da Competência],"&lt;"&amp;RESUMO!$D$5,Entradas[Centro de Custos],X!$E$14,Entradas[Status],X!$E$13)</f>
        <v>0</v>
      </c>
      <c r="P58" s="277"/>
      <c r="Q58" s="105">
        <f>SUMIFS(Saidas[Valores],Saidas[Fornecedor],P58,Saidas[Data da Competência],"&gt;="&amp;RESUMO!$C$4,Saidas[Data da Competência],"&lt;"&amp;RESUMO!$D$5,Saidas[Centro de Custos],X!$E$14,Saidas[Status],X!$E$13)</f>
        <v>0</v>
      </c>
    </row>
    <row r="59">
      <c r="M59" s="277"/>
      <c r="N59" s="105">
        <f>SUMIFS(Entradas[Valores],Entradas[Cliente],M59,Entradas[Data da Competência],"&gt;="&amp;RESUMO!$C$4,Entradas[Data da Competência],"&lt;"&amp;RESUMO!$D$5,Entradas[Centro de Custos],X!$E$14,Entradas[Status],X!$E$13)</f>
        <v>0</v>
      </c>
      <c r="P59" s="277"/>
      <c r="Q59" s="105">
        <f>SUMIFS(Saidas[Valores],Saidas[Fornecedor],P59,Saidas[Data da Competência],"&gt;="&amp;RESUMO!$C$4,Saidas[Data da Competência],"&lt;"&amp;RESUMO!$D$5,Saidas[Centro de Custos],X!$E$14,Saidas[Status],X!$E$13)</f>
        <v>0</v>
      </c>
    </row>
    <row r="60">
      <c r="M60" s="277"/>
      <c r="N60" s="105">
        <f>SUMIFS(Entradas[Valores],Entradas[Cliente],M60,Entradas[Data da Competência],"&gt;="&amp;RESUMO!$C$4,Entradas[Data da Competência],"&lt;"&amp;RESUMO!$D$5,Entradas[Centro de Custos],X!$E$14,Entradas[Status],X!$E$13)</f>
        <v>0</v>
      </c>
      <c r="P60" s="277"/>
      <c r="Q60" s="105">
        <f>SUMIFS(Saidas[Valores],Saidas[Fornecedor],P60,Saidas[Data da Competência],"&gt;="&amp;RESUMO!$C$4,Saidas[Data da Competência],"&lt;"&amp;RESUMO!$D$5,Saidas[Centro de Custos],X!$E$14,Saidas[Status],X!$E$13)</f>
        <v>0</v>
      </c>
    </row>
    <row r="61">
      <c r="M61" s="277"/>
      <c r="N61" s="105">
        <f>SUMIFS(Entradas[Valores],Entradas[Cliente],M61,Entradas[Data da Competência],"&gt;="&amp;RESUMO!$C$4,Entradas[Data da Competência],"&lt;"&amp;RESUMO!$D$5,Entradas[Centro de Custos],X!$E$14,Entradas[Status],X!$E$13)</f>
        <v>0</v>
      </c>
      <c r="P61" s="277"/>
      <c r="Q61" s="105">
        <f>SUMIFS(Saidas[Valores],Saidas[Fornecedor],P61,Saidas[Data da Competência],"&gt;="&amp;RESUMO!$C$4,Saidas[Data da Competência],"&lt;"&amp;RESUMO!$D$5,Saidas[Centro de Custos],X!$E$14,Saidas[Status],X!$E$13)</f>
        <v>0</v>
      </c>
    </row>
    <row r="62">
      <c r="M62" s="277"/>
      <c r="N62" s="105">
        <f>SUMIFS(Entradas[Valores],Entradas[Cliente],M62,Entradas[Data da Competência],"&gt;="&amp;RESUMO!$C$4,Entradas[Data da Competência],"&lt;"&amp;RESUMO!$D$5,Entradas[Centro de Custos],X!$E$14,Entradas[Status],X!$E$13)</f>
        <v>0</v>
      </c>
      <c r="P62" s="277"/>
      <c r="Q62" s="105">
        <f>SUMIFS(Saidas[Valores],Saidas[Fornecedor],P62,Saidas[Data da Competência],"&gt;="&amp;RESUMO!$C$4,Saidas[Data da Competência],"&lt;"&amp;RESUMO!$D$5,Saidas[Centro de Custos],X!$E$14,Saidas[Status],X!$E$13)</f>
        <v>0</v>
      </c>
    </row>
    <row r="63">
      <c r="M63" s="277"/>
      <c r="N63" s="105">
        <f>SUMIFS(Entradas[Valores],Entradas[Cliente],M63,Entradas[Data da Competência],"&gt;="&amp;RESUMO!$C$4,Entradas[Data da Competência],"&lt;"&amp;RESUMO!$D$5,Entradas[Centro de Custos],X!$E$14,Entradas[Status],X!$E$13)</f>
        <v>0</v>
      </c>
      <c r="P63" s="277"/>
      <c r="Q63" s="105">
        <f>SUMIFS(Saidas[Valores],Saidas[Fornecedor],P63,Saidas[Data da Competência],"&gt;="&amp;RESUMO!$C$4,Saidas[Data da Competência],"&lt;"&amp;RESUMO!$D$5,Saidas[Centro de Custos],X!$E$14,Saidas[Status],X!$E$13)</f>
        <v>0</v>
      </c>
    </row>
    <row r="64">
      <c r="M64" s="277"/>
      <c r="N64" s="105">
        <f>SUMIFS(Entradas[Valores],Entradas[Cliente],M64,Entradas[Data da Competência],"&gt;="&amp;RESUMO!$C$4,Entradas[Data da Competência],"&lt;"&amp;RESUMO!$D$5,Entradas[Centro de Custos],X!$E$14,Entradas[Status],X!$E$13)</f>
        <v>0</v>
      </c>
      <c r="P64" s="277"/>
      <c r="Q64" s="105">
        <f>SUMIFS(Saidas[Valores],Saidas[Fornecedor],P64,Saidas[Data da Competência],"&gt;="&amp;RESUMO!$C$4,Saidas[Data da Competência],"&lt;"&amp;RESUMO!$D$5,Saidas[Centro de Custos],X!$E$14,Saidas[Status],X!$E$13)</f>
        <v>0</v>
      </c>
    </row>
    <row r="65">
      <c r="M65" s="277"/>
      <c r="N65" s="105">
        <f>SUMIFS(Entradas[Valores],Entradas[Cliente],M65,Entradas[Data da Competência],"&gt;="&amp;RESUMO!$C$4,Entradas[Data da Competência],"&lt;"&amp;RESUMO!$D$5,Entradas[Centro de Custos],X!$E$14,Entradas[Status],X!$E$13)</f>
        <v>0</v>
      </c>
      <c r="P65" s="277"/>
      <c r="Q65" s="105">
        <f>SUMIFS(Saidas[Valores],Saidas[Fornecedor],P65,Saidas[Data da Competência],"&gt;="&amp;RESUMO!$C$4,Saidas[Data da Competência],"&lt;"&amp;RESUMO!$D$5,Saidas[Centro de Custos],X!$E$14,Saidas[Status],X!$E$13)</f>
        <v>0</v>
      </c>
    </row>
    <row r="66">
      <c r="M66" s="277"/>
      <c r="N66" s="105">
        <f>SUMIFS(Entradas[Valores],Entradas[Cliente],M66,Entradas[Data da Competência],"&gt;="&amp;RESUMO!$C$4,Entradas[Data da Competência],"&lt;"&amp;RESUMO!$D$5,Entradas[Centro de Custos],X!$E$14,Entradas[Status],X!$E$13)</f>
        <v>0</v>
      </c>
      <c r="P66" s="277"/>
      <c r="Q66" s="105">
        <f>SUMIFS(Saidas[Valores],Saidas[Fornecedor],P66,Saidas[Data da Competência],"&gt;="&amp;RESUMO!$C$4,Saidas[Data da Competência],"&lt;"&amp;RESUMO!$D$5,Saidas[Centro de Custos],X!$E$14,Saidas[Status],X!$E$13)</f>
        <v>0</v>
      </c>
    </row>
    <row r="67">
      <c r="M67" s="277"/>
      <c r="N67" s="105">
        <f>SUMIFS(Entradas[Valores],Entradas[Cliente],M67,Entradas[Data da Competência],"&gt;="&amp;RESUMO!$C$4,Entradas[Data da Competência],"&lt;"&amp;RESUMO!$D$5,Entradas[Centro de Custos],X!$E$14,Entradas[Status],X!$E$13)</f>
        <v>0</v>
      </c>
      <c r="P67" s="277"/>
      <c r="Q67" s="105">
        <f>SUMIFS(Saidas[Valores],Saidas[Fornecedor],P67,Saidas[Data da Competência],"&gt;="&amp;RESUMO!$C$4,Saidas[Data da Competência],"&lt;"&amp;RESUMO!$D$5,Saidas[Centro de Custos],X!$E$14,Saidas[Status],X!$E$13)</f>
        <v>0</v>
      </c>
    </row>
    <row r="68">
      <c r="M68" s="277"/>
      <c r="N68" s="105">
        <f>SUMIFS(Entradas[Valores],Entradas[Cliente],M68,Entradas[Data da Competência],"&gt;="&amp;RESUMO!$C$4,Entradas[Data da Competência],"&lt;"&amp;RESUMO!$D$5,Entradas[Centro de Custos],X!$E$14,Entradas[Status],X!$E$13)</f>
        <v>0</v>
      </c>
      <c r="P68" s="277"/>
      <c r="Q68" s="105">
        <f>SUMIFS(Saidas[Valores],Saidas[Fornecedor],P68,Saidas[Data da Competência],"&gt;="&amp;RESUMO!$C$4,Saidas[Data da Competência],"&lt;"&amp;RESUMO!$D$5,Saidas[Centro de Custos],X!$E$14,Saidas[Status],X!$E$13)</f>
        <v>0</v>
      </c>
    </row>
    <row r="69">
      <c r="M69" s="277"/>
      <c r="N69" s="105">
        <f>SUMIFS(Entradas[Valores],Entradas[Cliente],M69,Entradas[Data da Competência],"&gt;="&amp;RESUMO!$C$4,Entradas[Data da Competência],"&lt;"&amp;RESUMO!$D$5,Entradas[Centro de Custos],X!$E$14,Entradas[Status],X!$E$13)</f>
        <v>0</v>
      </c>
      <c r="P69" s="277"/>
      <c r="Q69" s="105">
        <f>SUMIFS(Saidas[Valores],Saidas[Fornecedor],P69,Saidas[Data da Competência],"&gt;="&amp;RESUMO!$C$4,Saidas[Data da Competência],"&lt;"&amp;RESUMO!$D$5,Saidas[Centro de Custos],X!$E$14,Saidas[Status],X!$E$13)</f>
        <v>0</v>
      </c>
    </row>
    <row r="70">
      <c r="M70" s="277"/>
      <c r="N70" s="105">
        <f>SUMIFS(Entradas[Valores],Entradas[Cliente],M70,Entradas[Data da Competência],"&gt;="&amp;RESUMO!$C$4,Entradas[Data da Competência],"&lt;"&amp;RESUMO!$D$5,Entradas[Centro de Custos],X!$E$14,Entradas[Status],X!$E$13)</f>
        <v>0</v>
      </c>
      <c r="P70" s="277"/>
      <c r="Q70" s="105">
        <f>SUMIFS(Saidas[Valores],Saidas[Fornecedor],P70,Saidas[Data da Competência],"&gt;="&amp;RESUMO!$C$4,Saidas[Data da Competência],"&lt;"&amp;RESUMO!$D$5,Saidas[Centro de Custos],X!$E$14,Saidas[Status],X!$E$13)</f>
        <v>0</v>
      </c>
    </row>
    <row r="71">
      <c r="M71" s="277"/>
      <c r="N71" s="105">
        <f>SUMIFS(Entradas[Valores],Entradas[Cliente],M71,Entradas[Data da Competência],"&gt;="&amp;RESUMO!$C$4,Entradas[Data da Competência],"&lt;"&amp;RESUMO!$D$5,Entradas[Centro de Custos],X!$E$14,Entradas[Status],X!$E$13)</f>
        <v>0</v>
      </c>
      <c r="P71" s="277"/>
      <c r="Q71" s="105">
        <f>SUMIFS(Saidas[Valores],Saidas[Fornecedor],P71,Saidas[Data da Competência],"&gt;="&amp;RESUMO!$C$4,Saidas[Data da Competência],"&lt;"&amp;RESUMO!$D$5,Saidas[Centro de Custos],X!$E$14,Saidas[Status],X!$E$13)</f>
        <v>0</v>
      </c>
    </row>
    <row r="72">
      <c r="M72" s="277"/>
      <c r="N72" s="105">
        <f>SUMIFS(Entradas[Valores],Entradas[Cliente],M72,Entradas[Data da Competência],"&gt;="&amp;RESUMO!$C$4,Entradas[Data da Competência],"&lt;"&amp;RESUMO!$D$5,Entradas[Centro de Custos],X!$E$14,Entradas[Status],X!$E$13)</f>
        <v>0</v>
      </c>
      <c r="P72" s="277"/>
      <c r="Q72" s="105">
        <f>SUMIFS(Saidas[Valores],Saidas[Fornecedor],P72,Saidas[Data da Competência],"&gt;="&amp;RESUMO!$C$4,Saidas[Data da Competência],"&lt;"&amp;RESUMO!$D$5,Saidas[Centro de Custos],X!$E$14,Saidas[Status],X!$E$13)</f>
        <v>0</v>
      </c>
    </row>
    <row r="73">
      <c r="M73" s="277"/>
      <c r="N73" s="105">
        <f>SUMIFS(Entradas[Valores],Entradas[Cliente],M73,Entradas[Data da Competência],"&gt;="&amp;RESUMO!$C$4,Entradas[Data da Competência],"&lt;"&amp;RESUMO!$D$5,Entradas[Centro de Custos],X!$E$14,Entradas[Status],X!$E$13)</f>
        <v>0</v>
      </c>
      <c r="P73" s="277"/>
      <c r="Q73" s="105">
        <f>SUMIFS(Saidas[Valores],Saidas[Fornecedor],P73,Saidas[Data da Competência],"&gt;="&amp;RESUMO!$C$4,Saidas[Data da Competência],"&lt;"&amp;RESUMO!$D$5,Saidas[Centro de Custos],X!$E$14,Saidas[Status],X!$E$13)</f>
        <v>0</v>
      </c>
    </row>
    <row r="74">
      <c r="M74" s="277"/>
      <c r="N74" s="105">
        <f>SUMIFS(Entradas[Valores],Entradas[Cliente],M74,Entradas[Data da Competência],"&gt;="&amp;RESUMO!$C$4,Entradas[Data da Competência],"&lt;"&amp;RESUMO!$D$5,Entradas[Centro de Custos],X!$E$14,Entradas[Status],X!$E$13)</f>
        <v>0</v>
      </c>
      <c r="P74" s="277"/>
      <c r="Q74" s="105">
        <f>SUMIFS(Saidas[Valores],Saidas[Fornecedor],P74,Saidas[Data da Competência],"&gt;="&amp;RESUMO!$C$4,Saidas[Data da Competência],"&lt;"&amp;RESUMO!$D$5,Saidas[Centro de Custos],X!$E$14,Saidas[Status],X!$E$13)</f>
        <v>0</v>
      </c>
    </row>
    <row r="75">
      <c r="M75" s="277"/>
      <c r="N75" s="105">
        <f>SUMIFS(Entradas[Valores],Entradas[Cliente],M75,Entradas[Data da Competência],"&gt;="&amp;RESUMO!$C$4,Entradas[Data da Competência],"&lt;"&amp;RESUMO!$D$5,Entradas[Centro de Custos],X!$E$14,Entradas[Status],X!$E$13)</f>
        <v>0</v>
      </c>
      <c r="P75" s="277"/>
      <c r="Q75" s="105">
        <f>SUMIFS(Saidas[Valores],Saidas[Fornecedor],P75,Saidas[Data da Competência],"&gt;="&amp;RESUMO!$C$4,Saidas[Data da Competência],"&lt;"&amp;RESUMO!$D$5,Saidas[Centro de Custos],X!$E$14,Saidas[Status],X!$E$13)</f>
        <v>0</v>
      </c>
    </row>
    <row r="76">
      <c r="M76" s="277"/>
      <c r="N76" s="105">
        <f>SUMIFS(Entradas[Valores],Entradas[Cliente],M76,Entradas[Data da Competência],"&gt;="&amp;RESUMO!$C$4,Entradas[Data da Competência],"&lt;"&amp;RESUMO!$D$5,Entradas[Centro de Custos],X!$E$14,Entradas[Status],X!$E$13)</f>
        <v>0</v>
      </c>
      <c r="P76" s="277"/>
      <c r="Q76" s="105">
        <f>SUMIFS(Saidas[Valores],Saidas[Fornecedor],P76,Saidas[Data da Competência],"&gt;="&amp;RESUMO!$C$4,Saidas[Data da Competência],"&lt;"&amp;RESUMO!$D$5,Saidas[Centro de Custos],X!$E$14,Saidas[Status],X!$E$13)</f>
        <v>0</v>
      </c>
    </row>
    <row r="77">
      <c r="M77" s="277"/>
      <c r="N77" s="105">
        <f>SUMIFS(Entradas[Valores],Entradas[Cliente],M77,Entradas[Data da Competência],"&gt;="&amp;RESUMO!$C$4,Entradas[Data da Competência],"&lt;"&amp;RESUMO!$D$5,Entradas[Centro de Custos],X!$E$14,Entradas[Status],X!$E$13)</f>
        <v>0</v>
      </c>
      <c r="P77" s="277"/>
      <c r="Q77" s="105">
        <f>SUMIFS(Saidas[Valores],Saidas[Fornecedor],P77,Saidas[Data da Competência],"&gt;="&amp;RESUMO!$C$4,Saidas[Data da Competência],"&lt;"&amp;RESUMO!$D$5,Saidas[Centro de Custos],X!$E$14,Saidas[Status],X!$E$13)</f>
        <v>0</v>
      </c>
    </row>
    <row r="78">
      <c r="M78" s="277"/>
      <c r="N78" s="105">
        <f>SUMIFS(Entradas[Valores],Entradas[Cliente],M78,Entradas[Data da Competência],"&gt;="&amp;RESUMO!$C$4,Entradas[Data da Competência],"&lt;"&amp;RESUMO!$D$5,Entradas[Centro de Custos],X!$E$14,Entradas[Status],X!$E$13)</f>
        <v>0</v>
      </c>
      <c r="P78" s="277"/>
      <c r="Q78" s="105">
        <f>SUMIFS(Saidas[Valores],Saidas[Fornecedor],P78,Saidas[Data da Competência],"&gt;="&amp;RESUMO!$C$4,Saidas[Data da Competência],"&lt;"&amp;RESUMO!$D$5,Saidas[Centro de Custos],X!$E$14,Saidas[Status],X!$E$13)</f>
        <v>0</v>
      </c>
    </row>
    <row r="79">
      <c r="M79" s="277"/>
      <c r="N79" s="105">
        <f>SUMIFS(Entradas[Valores],Entradas[Cliente],M79,Entradas[Data da Competência],"&gt;="&amp;RESUMO!$C$4,Entradas[Data da Competência],"&lt;"&amp;RESUMO!$D$5,Entradas[Centro de Custos],X!$E$14,Entradas[Status],X!$E$13)</f>
        <v>0</v>
      </c>
      <c r="P79" s="277"/>
      <c r="Q79" s="105">
        <f>SUMIFS(Saidas[Valores],Saidas[Fornecedor],P79,Saidas[Data da Competência],"&gt;="&amp;RESUMO!$C$4,Saidas[Data da Competência],"&lt;"&amp;RESUMO!$D$5,Saidas[Centro de Custos],X!$E$14,Saidas[Status],X!$E$13)</f>
        <v>0</v>
      </c>
    </row>
    <row r="80">
      <c r="M80" s="277"/>
      <c r="N80" s="105">
        <f>SUMIFS(Entradas[Valores],Entradas[Cliente],M80,Entradas[Data da Competência],"&gt;="&amp;RESUMO!$C$4,Entradas[Data da Competência],"&lt;"&amp;RESUMO!$D$5,Entradas[Centro de Custos],X!$E$14,Entradas[Status],X!$E$13)</f>
        <v>0</v>
      </c>
      <c r="P80" s="277"/>
      <c r="Q80" s="105">
        <f>SUMIFS(Saidas[Valores],Saidas[Fornecedor],P80,Saidas[Data da Competência],"&gt;="&amp;RESUMO!$C$4,Saidas[Data da Competência],"&lt;"&amp;RESUMO!$D$5,Saidas[Centro de Custos],X!$E$14,Saidas[Status],X!$E$13)</f>
        <v>0</v>
      </c>
    </row>
    <row r="81">
      <c r="M81" s="277"/>
      <c r="N81" s="105">
        <f>SUMIFS(Entradas[Valores],Entradas[Cliente],M81,Entradas[Data da Competência],"&gt;="&amp;RESUMO!$C$4,Entradas[Data da Competência],"&lt;"&amp;RESUMO!$D$5,Entradas[Centro de Custos],X!$E$14,Entradas[Status],X!$E$13)</f>
        <v>0</v>
      </c>
      <c r="P81" s="277"/>
      <c r="Q81" s="105">
        <f>SUMIFS(Saidas[Valores],Saidas[Fornecedor],P81,Saidas[Data da Competência],"&gt;="&amp;RESUMO!$C$4,Saidas[Data da Competência],"&lt;"&amp;RESUMO!$D$5,Saidas[Centro de Custos],X!$E$14,Saidas[Status],X!$E$13)</f>
        <v>0</v>
      </c>
    </row>
    <row r="82">
      <c r="M82" s="277"/>
      <c r="N82" s="105">
        <f>SUMIFS(Entradas[Valores],Entradas[Cliente],M82,Entradas[Data da Competência],"&gt;="&amp;RESUMO!$C$4,Entradas[Data da Competência],"&lt;"&amp;RESUMO!$D$5,Entradas[Centro de Custos],X!$E$14,Entradas[Status],X!$E$13)</f>
        <v>0</v>
      </c>
      <c r="P82" s="277"/>
      <c r="Q82" s="105">
        <f>SUMIFS(Saidas[Valores],Saidas[Fornecedor],P82,Saidas[Data da Competência],"&gt;="&amp;RESUMO!$C$4,Saidas[Data da Competência],"&lt;"&amp;RESUMO!$D$5,Saidas[Centro de Custos],X!$E$14,Saidas[Status],X!$E$13)</f>
        <v>0</v>
      </c>
    </row>
    <row r="83">
      <c r="M83" s="277"/>
      <c r="N83" s="105">
        <f>SUMIFS(Entradas[Valores],Entradas[Cliente],M83,Entradas[Data da Competência],"&gt;="&amp;RESUMO!$C$4,Entradas[Data da Competência],"&lt;"&amp;RESUMO!$D$5,Entradas[Centro de Custos],X!$E$14,Entradas[Status],X!$E$13)</f>
        <v>0</v>
      </c>
      <c r="P83" s="277"/>
      <c r="Q83" s="105">
        <f>SUMIFS(Saidas[Valores],Saidas[Fornecedor],P83,Saidas[Data da Competência],"&gt;="&amp;RESUMO!$C$4,Saidas[Data da Competência],"&lt;"&amp;RESUMO!$D$5,Saidas[Centro de Custos],X!$E$14,Saidas[Status],X!$E$13)</f>
        <v>0</v>
      </c>
    </row>
    <row r="84">
      <c r="M84" s="277"/>
      <c r="N84" s="105">
        <f>SUMIFS(Entradas[Valores],Entradas[Cliente],M84,Entradas[Data da Competência],"&gt;="&amp;RESUMO!$C$4,Entradas[Data da Competência],"&lt;"&amp;RESUMO!$D$5,Entradas[Centro de Custos],X!$E$14,Entradas[Status],X!$E$13)</f>
        <v>0</v>
      </c>
      <c r="P84" s="277"/>
      <c r="Q84" s="105">
        <f>SUMIFS(Saidas[Valores],Saidas[Fornecedor],P84,Saidas[Data da Competência],"&gt;="&amp;RESUMO!$C$4,Saidas[Data da Competência],"&lt;"&amp;RESUMO!$D$5,Saidas[Centro de Custos],X!$E$14,Saidas[Status],X!$E$13)</f>
        <v>0</v>
      </c>
    </row>
    <row r="85">
      <c r="M85" s="277"/>
      <c r="N85" s="105">
        <f>SUMIFS(Entradas[Valores],Entradas[Cliente],M85,Entradas[Data da Competência],"&gt;="&amp;RESUMO!$C$4,Entradas[Data da Competência],"&lt;"&amp;RESUMO!$D$5,Entradas[Centro de Custos],X!$E$14,Entradas[Status],X!$E$13)</f>
        <v>0</v>
      </c>
      <c r="P85" s="277"/>
      <c r="Q85" s="105">
        <f>SUMIFS(Saidas[Valores],Saidas[Fornecedor],P85,Saidas[Data da Competência],"&gt;="&amp;RESUMO!$C$4,Saidas[Data da Competência],"&lt;"&amp;RESUMO!$D$5,Saidas[Centro de Custos],X!$E$14,Saidas[Status],X!$E$13)</f>
        <v>0</v>
      </c>
    </row>
    <row r="86">
      <c r="M86" s="277"/>
      <c r="N86" s="105">
        <f>SUMIFS(Entradas[Valores],Entradas[Cliente],M86,Entradas[Data da Competência],"&gt;="&amp;RESUMO!$C$4,Entradas[Data da Competência],"&lt;"&amp;RESUMO!$D$5,Entradas[Centro de Custos],X!$E$14,Entradas[Status],X!$E$13)</f>
        <v>0</v>
      </c>
      <c r="P86" s="277"/>
      <c r="Q86" s="105">
        <f>SUMIFS(Saidas[Valores],Saidas[Fornecedor],P86,Saidas[Data da Competência],"&gt;="&amp;RESUMO!$C$4,Saidas[Data da Competência],"&lt;"&amp;RESUMO!$D$5,Saidas[Centro de Custos],X!$E$14,Saidas[Status],X!$E$13)</f>
        <v>0</v>
      </c>
    </row>
    <row r="87">
      <c r="M87" s="277"/>
      <c r="N87" s="105">
        <f>SUMIFS(Entradas[Valores],Entradas[Cliente],M87,Entradas[Data da Competência],"&gt;="&amp;RESUMO!$C$4,Entradas[Data da Competência],"&lt;"&amp;RESUMO!$D$5,Entradas[Centro de Custos],X!$E$14,Entradas[Status],X!$E$13)</f>
        <v>0</v>
      </c>
      <c r="P87" s="277"/>
      <c r="Q87" s="105">
        <f>SUMIFS(Saidas[Valores],Saidas[Fornecedor],P87,Saidas[Data da Competência],"&gt;="&amp;RESUMO!$C$4,Saidas[Data da Competência],"&lt;"&amp;RESUMO!$D$5,Saidas[Centro de Custos],X!$E$14,Saidas[Status],X!$E$13)</f>
        <v>0</v>
      </c>
    </row>
    <row r="88">
      <c r="M88" s="277"/>
      <c r="N88" s="105">
        <f>SUMIFS(Entradas[Valores],Entradas[Cliente],M88,Entradas[Data da Competência],"&gt;="&amp;RESUMO!$C$4,Entradas[Data da Competência],"&lt;"&amp;RESUMO!$D$5,Entradas[Centro de Custos],X!$E$14,Entradas[Status],X!$E$13)</f>
        <v>0</v>
      </c>
      <c r="P88" s="277"/>
      <c r="Q88" s="105">
        <f>SUMIFS(Saidas[Valores],Saidas[Fornecedor],P88,Saidas[Data da Competência],"&gt;="&amp;RESUMO!$C$4,Saidas[Data da Competência],"&lt;"&amp;RESUMO!$D$5,Saidas[Centro de Custos],X!$E$14,Saidas[Status],X!$E$13)</f>
        <v>0</v>
      </c>
    </row>
    <row r="89">
      <c r="M89" s="277"/>
      <c r="N89" s="105">
        <f>SUMIFS(Entradas[Valores],Entradas[Cliente],M89,Entradas[Data da Competência],"&gt;="&amp;RESUMO!$C$4,Entradas[Data da Competência],"&lt;"&amp;RESUMO!$D$5,Entradas[Centro de Custos],X!$E$14,Entradas[Status],X!$E$13)</f>
        <v>0</v>
      </c>
      <c r="P89" s="277"/>
      <c r="Q89" s="105">
        <f>SUMIFS(Saidas[Valores],Saidas[Fornecedor],P89,Saidas[Data da Competência],"&gt;="&amp;RESUMO!$C$4,Saidas[Data da Competência],"&lt;"&amp;RESUMO!$D$5,Saidas[Centro de Custos],X!$E$14,Saidas[Status],X!$E$13)</f>
        <v>0</v>
      </c>
    </row>
    <row r="90">
      <c r="M90" s="277"/>
      <c r="N90" s="105">
        <f>SUMIFS(Entradas[Valores],Entradas[Cliente],M90,Entradas[Data da Competência],"&gt;="&amp;RESUMO!$C$4,Entradas[Data da Competência],"&lt;"&amp;RESUMO!$D$5,Entradas[Centro de Custos],X!$E$14,Entradas[Status],X!$E$13)</f>
        <v>0</v>
      </c>
      <c r="P90" s="277"/>
      <c r="Q90" s="105">
        <f>SUMIFS(Saidas[Valores],Saidas[Fornecedor],P90,Saidas[Data da Competência],"&gt;="&amp;RESUMO!$C$4,Saidas[Data da Competência],"&lt;"&amp;RESUMO!$D$5,Saidas[Centro de Custos],X!$E$14,Saidas[Status],X!$E$13)</f>
        <v>0</v>
      </c>
    </row>
    <row r="91">
      <c r="M91" s="277"/>
      <c r="N91" s="105">
        <f>SUMIFS(Entradas[Valores],Entradas[Cliente],M91,Entradas[Data da Competência],"&gt;="&amp;RESUMO!$C$4,Entradas[Data da Competência],"&lt;"&amp;RESUMO!$D$5,Entradas[Centro de Custos],X!$E$14,Entradas[Status],X!$E$13)</f>
        <v>0</v>
      </c>
      <c r="P91" s="277"/>
      <c r="Q91" s="105">
        <f>SUMIFS(Saidas[Valores],Saidas[Fornecedor],P91,Saidas[Data da Competência],"&gt;="&amp;RESUMO!$C$4,Saidas[Data da Competência],"&lt;"&amp;RESUMO!$D$5,Saidas[Centro de Custos],X!$E$14,Saidas[Status],X!$E$13)</f>
        <v>0</v>
      </c>
    </row>
    <row r="92">
      <c r="M92" s="277"/>
      <c r="N92" s="105">
        <f>SUMIFS(Entradas[Valores],Entradas[Cliente],M92,Entradas[Data da Competência],"&gt;="&amp;RESUMO!$C$4,Entradas[Data da Competência],"&lt;"&amp;RESUMO!$D$5,Entradas[Centro de Custos],X!$E$14,Entradas[Status],X!$E$13)</f>
        <v>0</v>
      </c>
      <c r="P92" s="277"/>
      <c r="Q92" s="105">
        <f>SUMIFS(Saidas[Valores],Saidas[Fornecedor],P92,Saidas[Data da Competência],"&gt;="&amp;RESUMO!$C$4,Saidas[Data da Competência],"&lt;"&amp;RESUMO!$D$5,Saidas[Centro de Custos],X!$E$14,Saidas[Status],X!$E$13)</f>
        <v>0</v>
      </c>
    </row>
    <row r="93">
      <c r="M93" s="277"/>
      <c r="N93" s="105">
        <f>SUMIFS(Entradas[Valores],Entradas[Cliente],M93,Entradas[Data da Competência],"&gt;="&amp;RESUMO!$C$4,Entradas[Data da Competência],"&lt;"&amp;RESUMO!$D$5,Entradas[Centro de Custos],X!$E$14,Entradas[Status],X!$E$13)</f>
        <v>0</v>
      </c>
      <c r="P93" s="277"/>
      <c r="Q93" s="105">
        <f>SUMIFS(Saidas[Valores],Saidas[Fornecedor],P93,Saidas[Data da Competência],"&gt;="&amp;RESUMO!$C$4,Saidas[Data da Competência],"&lt;"&amp;RESUMO!$D$5,Saidas[Centro de Custos],X!$E$14,Saidas[Status],X!$E$13)</f>
        <v>0</v>
      </c>
    </row>
    <row r="94">
      <c r="M94" s="277"/>
      <c r="N94" s="105">
        <f>SUMIFS(Entradas[Valores],Entradas[Cliente],M94,Entradas[Data da Competência],"&gt;="&amp;RESUMO!$C$4,Entradas[Data da Competência],"&lt;"&amp;RESUMO!$D$5,Entradas[Centro de Custos],X!$E$14,Entradas[Status],X!$E$13)</f>
        <v>0</v>
      </c>
      <c r="P94" s="277"/>
      <c r="Q94" s="105">
        <f>SUMIFS(Saidas[Valores],Saidas[Fornecedor],P94,Saidas[Data da Competência],"&gt;="&amp;RESUMO!$C$4,Saidas[Data da Competência],"&lt;"&amp;RESUMO!$D$5,Saidas[Centro de Custos],X!$E$14,Saidas[Status],X!$E$13)</f>
        <v>0</v>
      </c>
    </row>
    <row r="95">
      <c r="M95" s="277"/>
      <c r="N95" s="105">
        <f>SUMIFS(Entradas[Valores],Entradas[Cliente],M95,Entradas[Data da Competência],"&gt;="&amp;RESUMO!$C$4,Entradas[Data da Competência],"&lt;"&amp;RESUMO!$D$5,Entradas[Centro de Custos],X!$E$14,Entradas[Status],X!$E$13)</f>
        <v>0</v>
      </c>
      <c r="P95" s="277"/>
      <c r="Q95" s="105">
        <f>SUMIFS(Saidas[Valores],Saidas[Fornecedor],P95,Saidas[Data da Competência],"&gt;="&amp;RESUMO!$C$4,Saidas[Data da Competência],"&lt;"&amp;RESUMO!$D$5,Saidas[Centro de Custos],X!$E$14,Saidas[Status],X!$E$13)</f>
        <v>0</v>
      </c>
    </row>
    <row r="96">
      <c r="M96" s="277"/>
      <c r="N96" s="105">
        <f>SUMIFS(Entradas[Valores],Entradas[Cliente],M96,Entradas[Data da Competência],"&gt;="&amp;RESUMO!$C$4,Entradas[Data da Competência],"&lt;"&amp;RESUMO!$D$5,Entradas[Centro de Custos],X!$E$14,Entradas[Status],X!$E$13)</f>
        <v>0</v>
      </c>
      <c r="P96" s="277"/>
      <c r="Q96" s="105">
        <f>SUMIFS(Saidas[Valores],Saidas[Fornecedor],P96,Saidas[Data da Competência],"&gt;="&amp;RESUMO!$C$4,Saidas[Data da Competência],"&lt;"&amp;RESUMO!$D$5,Saidas[Centro de Custos],X!$E$14,Saidas[Status],X!$E$13)</f>
        <v>0</v>
      </c>
    </row>
    <row r="97">
      <c r="M97" s="277"/>
      <c r="N97" s="105">
        <f>SUMIFS(Entradas[Valores],Entradas[Cliente],M97,Entradas[Data da Competência],"&gt;="&amp;RESUMO!$C$4,Entradas[Data da Competência],"&lt;"&amp;RESUMO!$D$5,Entradas[Centro de Custos],X!$E$14,Entradas[Status],X!$E$13)</f>
        <v>0</v>
      </c>
      <c r="P97" s="277"/>
      <c r="Q97" s="105">
        <f>SUMIFS(Saidas[Valores],Saidas[Fornecedor],P97,Saidas[Data da Competência],"&gt;="&amp;RESUMO!$C$4,Saidas[Data da Competência],"&lt;"&amp;RESUMO!$D$5,Saidas[Centro de Custos],X!$E$14,Saidas[Status],X!$E$13)</f>
        <v>0</v>
      </c>
    </row>
    <row r="98">
      <c r="M98" s="277"/>
      <c r="N98" s="105">
        <f>SUMIFS(Entradas[Valores],Entradas[Cliente],M98,Entradas[Data da Competência],"&gt;="&amp;RESUMO!$C$4,Entradas[Data da Competência],"&lt;"&amp;RESUMO!$D$5,Entradas[Centro de Custos],X!$E$14,Entradas[Status],X!$E$13)</f>
        <v>0</v>
      </c>
      <c r="P98" s="277"/>
      <c r="Q98" s="105">
        <f>SUMIFS(Saidas[Valores],Saidas[Fornecedor],P98,Saidas[Data da Competência],"&gt;="&amp;RESUMO!$C$4,Saidas[Data da Competência],"&lt;"&amp;RESUMO!$D$5,Saidas[Centro de Custos],X!$E$14,Saidas[Status],X!$E$13)</f>
        <v>0</v>
      </c>
    </row>
    <row r="99">
      <c r="M99" s="277"/>
      <c r="N99" s="105">
        <f>SUMIFS(Entradas[Valores],Entradas[Cliente],M99,Entradas[Data da Competência],"&gt;="&amp;RESUMO!$C$4,Entradas[Data da Competência],"&lt;"&amp;RESUMO!$D$5,Entradas[Centro de Custos],X!$E$14,Entradas[Status],X!$E$13)</f>
        <v>0</v>
      </c>
      <c r="P99" s="277"/>
      <c r="Q99" s="105">
        <f>SUMIFS(Saidas[Valores],Saidas[Fornecedor],P99,Saidas[Data da Competência],"&gt;="&amp;RESUMO!$C$4,Saidas[Data da Competência],"&lt;"&amp;RESUMO!$D$5,Saidas[Centro de Custos],X!$E$14,Saidas[Status],X!$E$13)</f>
        <v>0</v>
      </c>
    </row>
    <row r="100">
      <c r="M100" s="277"/>
      <c r="N100" s="105">
        <f>SUMIFS(Entradas[Valores],Entradas[Cliente],M100,Entradas[Data da Competência],"&gt;="&amp;RESUMO!$C$4,Entradas[Data da Competência],"&lt;"&amp;RESUMO!$D$5,Entradas[Centro de Custos],X!$E$14,Entradas[Status],X!$E$13)</f>
        <v>0</v>
      </c>
      <c r="P100" s="277"/>
      <c r="Q100" s="105">
        <f>SUMIFS(Saidas[Valores],Saidas[Fornecedor],P100,Saidas[Data da Competência],"&gt;="&amp;RESUMO!$C$4,Saidas[Data da Competência],"&lt;"&amp;RESUMO!$D$5,Saidas[Centro de Custos],X!$E$14,Saidas[Status],X!$E$13)</f>
        <v>0</v>
      </c>
    </row>
    <row r="101">
      <c r="M101" s="277"/>
      <c r="N101" s="105">
        <f>SUMIFS(Entradas[Valores],Entradas[Cliente],M101,Entradas[Data da Competência],"&gt;="&amp;RESUMO!$C$4,Entradas[Data da Competência],"&lt;"&amp;RESUMO!$D$5,Entradas[Centro de Custos],X!$E$14,Entradas[Status],X!$E$13)</f>
        <v>0</v>
      </c>
      <c r="P101" s="277"/>
      <c r="Q101" s="105">
        <f>SUMIFS(Saidas[Valores],Saidas[Fornecedor],P101,Saidas[Data da Competência],"&gt;="&amp;RESUMO!$C$4,Saidas[Data da Competência],"&lt;"&amp;RESUMO!$D$5,Saidas[Centro de Custos],X!$E$14,Saidas[Status],X!$E$13)</f>
        <v>0</v>
      </c>
    </row>
    <row r="102">
      <c r="M102" s="277"/>
      <c r="N102" s="105">
        <f>SUMIFS(Entradas[Valores],Entradas[Cliente],M102,Entradas[Data da Competência],"&gt;="&amp;RESUMO!$C$4,Entradas[Data da Competência],"&lt;"&amp;RESUMO!$D$5,Entradas[Centro de Custos],X!$E$14,Entradas[Status],X!$E$13)</f>
        <v>0</v>
      </c>
      <c r="P102" s="277"/>
      <c r="Q102" s="105">
        <f>SUMIFS(Saidas[Valores],Saidas[Fornecedor],P102,Saidas[Data da Competência],"&gt;="&amp;RESUMO!$C$4,Saidas[Data da Competência],"&lt;"&amp;RESUMO!$D$5,Saidas[Centro de Custos],X!$E$14,Saidas[Status],X!$E$13)</f>
        <v>0</v>
      </c>
    </row>
    <row r="103">
      <c r="M103" s="277"/>
      <c r="N103" s="105">
        <f>SUMIFS(Entradas[Valores],Entradas[Cliente],M103,Entradas[Data da Competência],"&gt;="&amp;RESUMO!$C$4,Entradas[Data da Competência],"&lt;"&amp;RESUMO!$D$5,Entradas[Centro de Custos],X!$E$14,Entradas[Status],X!$E$13)</f>
        <v>0</v>
      </c>
      <c r="P103" s="277"/>
      <c r="Q103" s="105">
        <f>SUMIFS(Saidas[Valores],Saidas[Fornecedor],P103,Saidas[Data da Competência],"&gt;="&amp;RESUMO!$C$4,Saidas[Data da Competência],"&lt;"&amp;RESUMO!$D$5,Saidas[Centro de Custos],X!$E$14,Saidas[Status],X!$E$13)</f>
        <v>0</v>
      </c>
    </row>
    <row r="104">
      <c r="M104" s="277"/>
      <c r="N104" s="105">
        <f>SUMIFS(Entradas[Valores],Entradas[Cliente],M104,Entradas[Data da Competência],"&gt;="&amp;RESUMO!$C$4,Entradas[Data da Competência],"&lt;"&amp;RESUMO!$D$5,Entradas[Centro de Custos],X!$E$14,Entradas[Status],X!$E$13)</f>
        <v>0</v>
      </c>
      <c r="P104" s="277"/>
      <c r="Q104" s="105">
        <f>SUMIFS(Saidas[Valores],Saidas[Fornecedor],P104,Saidas[Data da Competência],"&gt;="&amp;RESUMO!$C$4,Saidas[Data da Competência],"&lt;"&amp;RESUMO!$D$5,Saidas[Centro de Custos],X!$E$14,Saidas[Status],X!$E$13)</f>
        <v>0</v>
      </c>
    </row>
    <row r="105">
      <c r="M105" s="277"/>
      <c r="N105" s="105">
        <f>SUMIFS(Entradas[Valores],Entradas[Cliente],M105,Entradas[Data da Competência],"&gt;="&amp;RESUMO!$C$4,Entradas[Data da Competência],"&lt;"&amp;RESUMO!$D$5,Entradas[Centro de Custos],X!$E$14,Entradas[Status],X!$E$13)</f>
        <v>0</v>
      </c>
      <c r="P105" s="277"/>
      <c r="Q105" s="105">
        <f>SUMIFS(Saidas[Valores],Saidas[Fornecedor],P105,Saidas[Data da Competência],"&gt;="&amp;RESUMO!$C$4,Saidas[Data da Competência],"&lt;"&amp;RESUMO!$D$5,Saidas[Centro de Custos],X!$E$14,Saidas[Status],X!$E$13)</f>
        <v>0</v>
      </c>
    </row>
    <row r="106">
      <c r="M106" s="277"/>
      <c r="N106" s="105">
        <f>SUMIFS(Entradas[Valores],Entradas[Cliente],M106,Entradas[Data da Competência],"&gt;="&amp;RESUMO!$C$4,Entradas[Data da Competência],"&lt;"&amp;RESUMO!$D$5,Entradas[Centro de Custos],X!$E$14,Entradas[Status],X!$E$13)</f>
        <v>0</v>
      </c>
      <c r="P106" s="277"/>
      <c r="Q106" s="105">
        <f>SUMIFS(Saidas[Valores],Saidas[Fornecedor],P106,Saidas[Data da Competência],"&gt;="&amp;RESUMO!$C$4,Saidas[Data da Competência],"&lt;"&amp;RESUMO!$D$5,Saidas[Centro de Custos],X!$E$14,Saidas[Status],X!$E$13)</f>
        <v>0</v>
      </c>
    </row>
    <row r="107">
      <c r="M107" s="277"/>
      <c r="N107" s="105">
        <f>SUMIFS(Entradas[Valores],Entradas[Cliente],M107,Entradas[Data da Competência],"&gt;="&amp;RESUMO!$C$4,Entradas[Data da Competência],"&lt;"&amp;RESUMO!$D$5,Entradas[Centro de Custos],X!$E$14,Entradas[Status],X!$E$13)</f>
        <v>0</v>
      </c>
      <c r="P107" s="277"/>
      <c r="Q107" s="105">
        <f>SUMIFS(Saidas[Valores],Saidas[Fornecedor],P107,Saidas[Data da Competência],"&gt;="&amp;RESUMO!$C$4,Saidas[Data da Competência],"&lt;"&amp;RESUMO!$D$5,Saidas[Centro de Custos],X!$E$14,Saidas[Status],X!$E$13)</f>
        <v>0</v>
      </c>
    </row>
    <row r="108">
      <c r="M108" s="277"/>
      <c r="N108" s="105">
        <f>SUMIFS(Entradas[Valores],Entradas[Cliente],M108,Entradas[Data da Competência],"&gt;="&amp;RESUMO!$C$4,Entradas[Data da Competência],"&lt;"&amp;RESUMO!$D$5,Entradas[Centro de Custos],X!$E$14,Entradas[Status],X!$E$13)</f>
        <v>0</v>
      </c>
      <c r="P108" s="277"/>
      <c r="Q108" s="105">
        <f>SUMIFS(Saidas[Valores],Saidas[Fornecedor],P108,Saidas[Data da Competência],"&gt;="&amp;RESUMO!$C$4,Saidas[Data da Competência],"&lt;"&amp;RESUMO!$D$5,Saidas[Centro de Custos],X!$E$14,Saidas[Status],X!$E$13)</f>
        <v>0</v>
      </c>
    </row>
    <row r="109">
      <c r="M109" s="277"/>
      <c r="N109" s="105">
        <f>SUMIFS(Entradas[Valores],Entradas[Cliente],M109,Entradas[Data da Competência],"&gt;="&amp;RESUMO!$C$4,Entradas[Data da Competência],"&lt;"&amp;RESUMO!$D$5,Entradas[Centro de Custos],X!$E$14,Entradas[Status],X!$E$13)</f>
        <v>0</v>
      </c>
      <c r="P109" s="277"/>
      <c r="Q109" s="105">
        <f>SUMIFS(Saidas[Valores],Saidas[Fornecedor],P109,Saidas[Data da Competência],"&gt;="&amp;RESUMO!$C$4,Saidas[Data da Competência],"&lt;"&amp;RESUMO!$D$5,Saidas[Centro de Custos],X!$E$14,Saidas[Status],X!$E$13)</f>
        <v>0</v>
      </c>
    </row>
    <row r="110">
      <c r="M110" s="277"/>
      <c r="N110" s="105">
        <f>SUMIFS(Entradas[Valores],Entradas[Cliente],M110,Entradas[Data da Competência],"&gt;="&amp;RESUMO!$C$4,Entradas[Data da Competência],"&lt;"&amp;RESUMO!$D$5,Entradas[Centro de Custos],X!$E$14,Entradas[Status],X!$E$13)</f>
        <v>0</v>
      </c>
      <c r="P110" s="277"/>
      <c r="Q110" s="105">
        <f>SUMIFS(Saidas[Valores],Saidas[Fornecedor],P110,Saidas[Data da Competência],"&gt;="&amp;RESUMO!$C$4,Saidas[Data da Competência],"&lt;"&amp;RESUMO!$D$5,Saidas[Centro de Custos],X!$E$14,Saidas[Status],X!$E$13)</f>
        <v>0</v>
      </c>
    </row>
    <row r="111">
      <c r="M111" s="277"/>
      <c r="N111" s="105">
        <f>SUMIFS(Entradas[Valores],Entradas[Cliente],M111,Entradas[Data da Competência],"&gt;="&amp;RESUMO!$C$4,Entradas[Data da Competência],"&lt;"&amp;RESUMO!$D$5,Entradas[Centro de Custos],X!$E$14,Entradas[Status],X!$E$13)</f>
        <v>0</v>
      </c>
      <c r="P111" s="277"/>
      <c r="Q111" s="105">
        <f>SUMIFS(Saidas[Valores],Saidas[Fornecedor],P111,Saidas[Data da Competência],"&gt;="&amp;RESUMO!$C$4,Saidas[Data da Competência],"&lt;"&amp;RESUMO!$D$5,Saidas[Centro de Custos],X!$E$14,Saidas[Status],X!$E$13)</f>
        <v>0</v>
      </c>
    </row>
    <row r="112">
      <c r="M112" s="277"/>
      <c r="N112" s="105">
        <f>SUMIFS(Entradas[Valores],Entradas[Cliente],M112,Entradas[Data da Competência],"&gt;="&amp;RESUMO!$C$4,Entradas[Data da Competência],"&lt;"&amp;RESUMO!$D$5,Entradas[Centro de Custos],X!$E$14,Entradas[Status],X!$E$13)</f>
        <v>0</v>
      </c>
      <c r="P112" s="277"/>
      <c r="Q112" s="105">
        <f>SUMIFS(Saidas[Valores],Saidas[Fornecedor],P112,Saidas[Data da Competência],"&gt;="&amp;RESUMO!$C$4,Saidas[Data da Competência],"&lt;"&amp;RESUMO!$D$5,Saidas[Centro de Custos],X!$E$14,Saidas[Status],X!$E$13)</f>
        <v>0</v>
      </c>
    </row>
    <row r="113">
      <c r="M113" s="277"/>
      <c r="N113" s="105">
        <f>SUMIFS(Entradas[Valores],Entradas[Cliente],M113,Entradas[Data da Competência],"&gt;="&amp;RESUMO!$C$4,Entradas[Data da Competência],"&lt;"&amp;RESUMO!$D$5,Entradas[Centro de Custos],X!$E$14,Entradas[Status],X!$E$13)</f>
        <v>0</v>
      </c>
      <c r="P113" s="277"/>
      <c r="Q113" s="105">
        <f>SUMIFS(Saidas[Valores],Saidas[Fornecedor],P113,Saidas[Data da Competência],"&gt;="&amp;RESUMO!$C$4,Saidas[Data da Competência],"&lt;"&amp;RESUMO!$D$5,Saidas[Centro de Custos],X!$E$14,Saidas[Status],X!$E$13)</f>
        <v>0</v>
      </c>
    </row>
    <row r="114">
      <c r="M114" s="277"/>
      <c r="N114" s="105">
        <f>SUMIFS(Entradas[Valores],Entradas[Cliente],M114,Entradas[Data da Competência],"&gt;="&amp;RESUMO!$C$4,Entradas[Data da Competência],"&lt;"&amp;RESUMO!$D$5,Entradas[Centro de Custos],X!$E$14,Entradas[Status],X!$E$13)</f>
        <v>0</v>
      </c>
      <c r="P114" s="277"/>
      <c r="Q114" s="105">
        <f>SUMIFS(Saidas[Valores],Saidas[Fornecedor],P114,Saidas[Data da Competência],"&gt;="&amp;RESUMO!$C$4,Saidas[Data da Competência],"&lt;"&amp;RESUMO!$D$5,Saidas[Centro de Custos],X!$E$14,Saidas[Status],X!$E$13)</f>
        <v>0</v>
      </c>
    </row>
    <row r="115">
      <c r="M115" s="277"/>
      <c r="N115" s="105">
        <f>SUMIFS(Entradas[Valores],Entradas[Cliente],M115,Entradas[Data da Competência],"&gt;="&amp;RESUMO!$C$4,Entradas[Data da Competência],"&lt;"&amp;RESUMO!$D$5,Entradas[Centro de Custos],X!$E$14,Entradas[Status],X!$E$13)</f>
        <v>0</v>
      </c>
      <c r="P115" s="277"/>
      <c r="Q115" s="105">
        <f>SUMIFS(Saidas[Valores],Saidas[Fornecedor],P115,Saidas[Data da Competência],"&gt;="&amp;RESUMO!$C$4,Saidas[Data da Competência],"&lt;"&amp;RESUMO!$D$5,Saidas[Centro de Custos],X!$E$14,Saidas[Status],X!$E$13)</f>
        <v>0</v>
      </c>
    </row>
    <row r="116">
      <c r="M116" s="277"/>
      <c r="N116" s="105">
        <f>SUMIFS(Entradas[Valores],Entradas[Cliente],M116,Entradas[Data da Competência],"&gt;="&amp;RESUMO!$C$4,Entradas[Data da Competência],"&lt;"&amp;RESUMO!$D$5,Entradas[Centro de Custos],X!$E$14,Entradas[Status],X!$E$13)</f>
        <v>0</v>
      </c>
      <c r="P116" s="277"/>
      <c r="Q116" s="105">
        <f>SUMIFS(Saidas[Valores],Saidas[Fornecedor],P116,Saidas[Data da Competência],"&gt;="&amp;RESUMO!$C$4,Saidas[Data da Competência],"&lt;"&amp;RESUMO!$D$5,Saidas[Centro de Custos],X!$E$14,Saidas[Status],X!$E$13)</f>
        <v>0</v>
      </c>
    </row>
    <row r="117">
      <c r="M117" s="277"/>
      <c r="N117" s="105">
        <f>SUMIFS(Entradas[Valores],Entradas[Cliente],M117,Entradas[Data da Competência],"&gt;="&amp;RESUMO!$C$4,Entradas[Data da Competência],"&lt;"&amp;RESUMO!$D$5,Entradas[Centro de Custos],X!$E$14,Entradas[Status],X!$E$13)</f>
        <v>0</v>
      </c>
      <c r="P117" s="277"/>
      <c r="Q117" s="105">
        <f>SUMIFS(Saidas[Valores],Saidas[Fornecedor],P117,Saidas[Data da Competência],"&gt;="&amp;RESUMO!$C$4,Saidas[Data da Competência],"&lt;"&amp;RESUMO!$D$5,Saidas[Centro de Custos],X!$E$14,Saidas[Status],X!$E$13)</f>
        <v>0</v>
      </c>
    </row>
    <row r="118">
      <c r="M118" s="277"/>
      <c r="N118" s="105">
        <f>SUMIFS(Entradas[Valores],Entradas[Cliente],M118,Entradas[Data da Competência],"&gt;="&amp;RESUMO!$C$4,Entradas[Data da Competência],"&lt;"&amp;RESUMO!$D$5,Entradas[Centro de Custos],X!$E$14,Entradas[Status],X!$E$13)</f>
        <v>0</v>
      </c>
      <c r="P118" s="277"/>
      <c r="Q118" s="105">
        <f>SUMIFS(Saidas[Valores],Saidas[Fornecedor],P118,Saidas[Data da Competência],"&gt;="&amp;RESUMO!$C$4,Saidas[Data da Competência],"&lt;"&amp;RESUMO!$D$5,Saidas[Centro de Custos],X!$E$14,Saidas[Status],X!$E$13)</f>
        <v>0</v>
      </c>
    </row>
    <row r="119">
      <c r="M119" s="277"/>
      <c r="N119" s="105">
        <f>SUMIFS(Entradas[Valores],Entradas[Cliente],M119,Entradas[Data da Competência],"&gt;="&amp;RESUMO!$C$4,Entradas[Data da Competência],"&lt;"&amp;RESUMO!$D$5,Entradas[Centro de Custos],X!$E$14,Entradas[Status],X!$E$13)</f>
        <v>0</v>
      </c>
      <c r="P119" s="277"/>
      <c r="Q119" s="105">
        <f>SUMIFS(Saidas[Valores],Saidas[Fornecedor],P119,Saidas[Data da Competência],"&gt;="&amp;RESUMO!$C$4,Saidas[Data da Competência],"&lt;"&amp;RESUMO!$D$5,Saidas[Centro de Custos],X!$E$14,Saidas[Status],X!$E$13)</f>
        <v>0</v>
      </c>
    </row>
    <row r="120">
      <c r="M120" s="277"/>
      <c r="N120" s="105">
        <f>SUMIFS(Entradas[Valores],Entradas[Cliente],M120,Entradas[Data da Competência],"&gt;="&amp;RESUMO!$C$4,Entradas[Data da Competência],"&lt;"&amp;RESUMO!$D$5,Entradas[Centro de Custos],X!$E$14,Entradas[Status],X!$E$13)</f>
        <v>0</v>
      </c>
      <c r="P120" s="277"/>
      <c r="Q120" s="105">
        <f>SUMIFS(Saidas[Valores],Saidas[Fornecedor],P120,Saidas[Data da Competência],"&gt;="&amp;RESUMO!$C$4,Saidas[Data da Competência],"&lt;"&amp;RESUMO!$D$5,Saidas[Centro de Custos],X!$E$14,Saidas[Status],X!$E$13)</f>
        <v>0</v>
      </c>
    </row>
    <row r="121">
      <c r="M121" s="277"/>
      <c r="N121" s="105">
        <f>SUMIFS(Entradas[Valores],Entradas[Cliente],M121,Entradas[Data da Competência],"&gt;="&amp;RESUMO!$C$4,Entradas[Data da Competência],"&lt;"&amp;RESUMO!$D$5,Entradas[Centro de Custos],X!$E$14,Entradas[Status],X!$E$13)</f>
        <v>0</v>
      </c>
      <c r="P121" s="277"/>
      <c r="Q121" s="105">
        <f>SUMIFS(Saidas[Valores],Saidas[Fornecedor],P121,Saidas[Data da Competência],"&gt;="&amp;RESUMO!$C$4,Saidas[Data da Competência],"&lt;"&amp;RESUMO!$D$5,Saidas[Centro de Custos],X!$E$14,Saidas[Status],X!$E$13)</f>
        <v>0</v>
      </c>
    </row>
    <row r="122">
      <c r="M122" s="277"/>
      <c r="N122" s="105">
        <f>SUMIFS(Entradas[Valores],Entradas[Cliente],M122,Entradas[Data da Competência],"&gt;="&amp;RESUMO!$C$4,Entradas[Data da Competência],"&lt;"&amp;RESUMO!$D$5,Entradas[Centro de Custos],X!$E$14,Entradas[Status],X!$E$13)</f>
        <v>0</v>
      </c>
      <c r="P122" s="277"/>
      <c r="Q122" s="105">
        <f>SUMIFS(Saidas[Valores],Saidas[Fornecedor],P122,Saidas[Data da Competência],"&gt;="&amp;RESUMO!$C$4,Saidas[Data da Competência],"&lt;"&amp;RESUMO!$D$5,Saidas[Centro de Custos],X!$E$14,Saidas[Status],X!$E$13)</f>
        <v>0</v>
      </c>
    </row>
    <row r="123">
      <c r="M123" s="277"/>
      <c r="N123" s="105">
        <f>SUMIFS(Entradas[Valores],Entradas[Cliente],M123,Entradas[Data da Competência],"&gt;="&amp;RESUMO!$C$4,Entradas[Data da Competência],"&lt;"&amp;RESUMO!$D$5,Entradas[Centro de Custos],X!$E$14,Entradas[Status],X!$E$13)</f>
        <v>0</v>
      </c>
      <c r="P123" s="277"/>
      <c r="Q123" s="105">
        <f>SUMIFS(Saidas[Valores],Saidas[Fornecedor],P123,Saidas[Data da Competência],"&gt;="&amp;RESUMO!$C$4,Saidas[Data da Competência],"&lt;"&amp;RESUMO!$D$5,Saidas[Centro de Custos],X!$E$14,Saidas[Status],X!$E$13)</f>
        <v>0</v>
      </c>
    </row>
    <row r="124">
      <c r="M124" s="277"/>
      <c r="N124" s="105">
        <f>SUMIFS(Entradas[Valores],Entradas[Cliente],M124,Entradas[Data da Competência],"&gt;="&amp;RESUMO!$C$4,Entradas[Data da Competência],"&lt;"&amp;RESUMO!$D$5,Entradas[Centro de Custos],X!$E$14,Entradas[Status],X!$E$13)</f>
        <v>0</v>
      </c>
      <c r="P124" s="277"/>
      <c r="Q124" s="105">
        <f>SUMIFS(Saidas[Valores],Saidas[Fornecedor],P124,Saidas[Data da Competência],"&gt;="&amp;RESUMO!$C$4,Saidas[Data da Competência],"&lt;"&amp;RESUMO!$D$5,Saidas[Centro de Custos],X!$E$14,Saidas[Status],X!$E$13)</f>
        <v>0</v>
      </c>
    </row>
    <row r="125">
      <c r="M125" s="277"/>
      <c r="N125" s="105">
        <f>SUMIFS(Entradas[Valores],Entradas[Cliente],M125,Entradas[Data da Competência],"&gt;="&amp;RESUMO!$C$4,Entradas[Data da Competência],"&lt;"&amp;RESUMO!$D$5,Entradas[Centro de Custos],X!$E$14,Entradas[Status],X!$E$13)</f>
        <v>0</v>
      </c>
      <c r="P125" s="277"/>
      <c r="Q125" s="105">
        <f>SUMIFS(Saidas[Valores],Saidas[Fornecedor],P125,Saidas[Data da Competência],"&gt;="&amp;RESUMO!$C$4,Saidas[Data da Competência],"&lt;"&amp;RESUMO!$D$5,Saidas[Centro de Custos],X!$E$14,Saidas[Status],X!$E$13)</f>
        <v>0</v>
      </c>
    </row>
    <row r="126">
      <c r="M126" s="277"/>
      <c r="N126" s="105">
        <f>SUMIFS(Entradas[Valores],Entradas[Cliente],M126,Entradas[Data da Competência],"&gt;="&amp;RESUMO!$C$4,Entradas[Data da Competência],"&lt;"&amp;RESUMO!$D$5,Entradas[Centro de Custos],X!$E$14,Entradas[Status],X!$E$13)</f>
        <v>0</v>
      </c>
      <c r="P126" s="277"/>
      <c r="Q126" s="105">
        <f>SUMIFS(Saidas[Valores],Saidas[Fornecedor],P126,Saidas[Data da Competência],"&gt;="&amp;RESUMO!$C$4,Saidas[Data da Competência],"&lt;"&amp;RESUMO!$D$5,Saidas[Centro de Custos],X!$E$14,Saidas[Status],X!$E$13)</f>
        <v>0</v>
      </c>
    </row>
    <row r="127">
      <c r="M127" s="277"/>
      <c r="N127" s="105">
        <f>SUMIFS(Entradas[Valores],Entradas[Cliente],M127,Entradas[Data da Competência],"&gt;="&amp;RESUMO!$C$4,Entradas[Data da Competência],"&lt;"&amp;RESUMO!$D$5,Entradas[Centro de Custos],X!$E$14,Entradas[Status],X!$E$13)</f>
        <v>0</v>
      </c>
      <c r="P127" s="277"/>
      <c r="Q127" s="105">
        <f>SUMIFS(Saidas[Valores],Saidas[Fornecedor],P127,Saidas[Data da Competência],"&gt;="&amp;RESUMO!$C$4,Saidas[Data da Competência],"&lt;"&amp;RESUMO!$D$5,Saidas[Centro de Custos],X!$E$14,Saidas[Status],X!$E$13)</f>
        <v>0</v>
      </c>
    </row>
    <row r="128">
      <c r="M128" s="277"/>
      <c r="N128" s="105">
        <f>SUMIFS(Entradas[Valores],Entradas[Cliente],M128,Entradas[Data da Competência],"&gt;="&amp;RESUMO!$C$4,Entradas[Data da Competência],"&lt;"&amp;RESUMO!$D$5,Entradas[Centro de Custos],X!$E$14,Entradas[Status],X!$E$13)</f>
        <v>0</v>
      </c>
      <c r="P128" s="277"/>
      <c r="Q128" s="105">
        <f>SUMIFS(Saidas[Valores],Saidas[Fornecedor],P128,Saidas[Data da Competência],"&gt;="&amp;RESUMO!$C$4,Saidas[Data da Competência],"&lt;"&amp;RESUMO!$D$5,Saidas[Centro de Custos],X!$E$14,Saidas[Status],X!$E$13)</f>
        <v>0</v>
      </c>
    </row>
    <row r="129">
      <c r="M129" s="277"/>
      <c r="N129" s="105">
        <f>SUMIFS(Entradas[Valores],Entradas[Cliente],M129,Entradas[Data da Competência],"&gt;="&amp;RESUMO!$C$4,Entradas[Data da Competência],"&lt;"&amp;RESUMO!$D$5,Entradas[Centro de Custos],X!$E$14,Entradas[Status],X!$E$13)</f>
        <v>0</v>
      </c>
      <c r="P129" s="277"/>
      <c r="Q129" s="105">
        <f>SUMIFS(Saidas[Valores],Saidas[Fornecedor],P129,Saidas[Data da Competência],"&gt;="&amp;RESUMO!$C$4,Saidas[Data da Competência],"&lt;"&amp;RESUMO!$D$5,Saidas[Centro de Custos],X!$E$14,Saidas[Status],X!$E$13)</f>
        <v>0</v>
      </c>
    </row>
    <row r="130">
      <c r="M130" s="277"/>
      <c r="N130" s="105">
        <f>SUMIFS(Entradas[Valores],Entradas[Cliente],M130,Entradas[Data da Competência],"&gt;="&amp;RESUMO!$C$4,Entradas[Data da Competência],"&lt;"&amp;RESUMO!$D$5,Entradas[Centro de Custos],X!$E$14,Entradas[Status],X!$E$13)</f>
        <v>0</v>
      </c>
      <c r="P130" s="277"/>
      <c r="Q130" s="105">
        <f>SUMIFS(Saidas[Valores],Saidas[Fornecedor],P130,Saidas[Data da Competência],"&gt;="&amp;RESUMO!$C$4,Saidas[Data da Competência],"&lt;"&amp;RESUMO!$D$5,Saidas[Centro de Custos],X!$E$14,Saidas[Status],X!$E$13)</f>
        <v>0</v>
      </c>
    </row>
    <row r="131">
      <c r="M131" s="277"/>
      <c r="N131" s="105">
        <f>SUMIFS(Entradas[Valores],Entradas[Cliente],M131,Entradas[Data da Competência],"&gt;="&amp;RESUMO!$C$4,Entradas[Data da Competência],"&lt;"&amp;RESUMO!$D$5,Entradas[Centro de Custos],X!$E$14,Entradas[Status],X!$E$13)</f>
        <v>0</v>
      </c>
      <c r="P131" s="277"/>
      <c r="Q131" s="105">
        <f>SUMIFS(Saidas[Valores],Saidas[Fornecedor],P131,Saidas[Data da Competência],"&gt;="&amp;RESUMO!$C$4,Saidas[Data da Competência],"&lt;"&amp;RESUMO!$D$5,Saidas[Centro de Custos],X!$E$14,Saidas[Status],X!$E$13)</f>
        <v>0</v>
      </c>
    </row>
    <row r="132">
      <c r="M132" s="277"/>
      <c r="N132" s="105">
        <f>SUMIFS(Entradas[Valores],Entradas[Cliente],M132,Entradas[Data da Competência],"&gt;="&amp;RESUMO!$C$4,Entradas[Data da Competência],"&lt;"&amp;RESUMO!$D$5,Entradas[Centro de Custos],X!$E$14,Entradas[Status],X!$E$13)</f>
        <v>0</v>
      </c>
      <c r="P132" s="277"/>
      <c r="Q132" s="105">
        <f>SUMIFS(Saidas[Valores],Saidas[Fornecedor],P132,Saidas[Data da Competência],"&gt;="&amp;RESUMO!$C$4,Saidas[Data da Competência],"&lt;"&amp;RESUMO!$D$5,Saidas[Centro de Custos],X!$E$14,Saidas[Status],X!$E$13)</f>
        <v>0</v>
      </c>
    </row>
    <row r="133">
      <c r="M133" s="277"/>
      <c r="N133" s="105">
        <f>SUMIFS(Entradas[Valores],Entradas[Cliente],M133,Entradas[Data da Competência],"&gt;="&amp;RESUMO!$C$4,Entradas[Data da Competência],"&lt;"&amp;RESUMO!$D$5,Entradas[Centro de Custos],X!$E$14,Entradas[Status],X!$E$13)</f>
        <v>0</v>
      </c>
      <c r="P133" s="277"/>
      <c r="Q133" s="105">
        <f>SUMIFS(Saidas[Valores],Saidas[Fornecedor],P133,Saidas[Data da Competência],"&gt;="&amp;RESUMO!$C$4,Saidas[Data da Competência],"&lt;"&amp;RESUMO!$D$5,Saidas[Centro de Custos],X!$E$14,Saidas[Status],X!$E$13)</f>
        <v>0</v>
      </c>
    </row>
    <row r="134">
      <c r="M134" s="277"/>
      <c r="N134" s="105">
        <f>SUMIFS(Entradas[Valores],Entradas[Cliente],M134,Entradas[Data da Competência],"&gt;="&amp;RESUMO!$C$4,Entradas[Data da Competência],"&lt;"&amp;RESUMO!$D$5,Entradas[Centro de Custos],X!$E$14,Entradas[Status],X!$E$13)</f>
        <v>0</v>
      </c>
      <c r="P134" s="277"/>
      <c r="Q134" s="105">
        <f>SUMIFS(Saidas[Valores],Saidas[Fornecedor],P134,Saidas[Data da Competência],"&gt;="&amp;RESUMO!$C$4,Saidas[Data da Competência],"&lt;"&amp;RESUMO!$D$5,Saidas[Centro de Custos],X!$E$14,Saidas[Status],X!$E$13)</f>
        <v>0</v>
      </c>
    </row>
    <row r="135">
      <c r="M135" s="277"/>
      <c r="N135" s="105">
        <f>SUMIFS(Entradas[Valores],Entradas[Cliente],M135,Entradas[Data da Competência],"&gt;="&amp;RESUMO!$C$4,Entradas[Data da Competência],"&lt;"&amp;RESUMO!$D$5,Entradas[Centro de Custos],X!$E$14,Entradas[Status],X!$E$13)</f>
        <v>0</v>
      </c>
      <c r="P135" s="277"/>
      <c r="Q135" s="105">
        <f>SUMIFS(Saidas[Valores],Saidas[Fornecedor],P135,Saidas[Data da Competência],"&gt;="&amp;RESUMO!$C$4,Saidas[Data da Competência],"&lt;"&amp;RESUMO!$D$5,Saidas[Centro de Custos],X!$E$14,Saidas[Status],X!$E$13)</f>
        <v>0</v>
      </c>
    </row>
    <row r="136">
      <c r="M136" s="277"/>
      <c r="N136" s="105">
        <f>SUMIFS(Entradas[Valores],Entradas[Cliente],M136,Entradas[Data da Competência],"&gt;="&amp;RESUMO!$C$4,Entradas[Data da Competência],"&lt;"&amp;RESUMO!$D$5,Entradas[Centro de Custos],X!$E$14,Entradas[Status],X!$E$13)</f>
        <v>0</v>
      </c>
      <c r="P136" s="277"/>
      <c r="Q136" s="105">
        <f>SUMIFS(Saidas[Valores],Saidas[Fornecedor],P136,Saidas[Data da Competência],"&gt;="&amp;RESUMO!$C$4,Saidas[Data da Competência],"&lt;"&amp;RESUMO!$D$5,Saidas[Centro de Custos],X!$E$14,Saidas[Status],X!$E$13)</f>
        <v>0</v>
      </c>
    </row>
    <row r="137">
      <c r="M137" s="277"/>
      <c r="N137" s="105">
        <f>SUMIFS(Entradas[Valores],Entradas[Cliente],M137,Entradas[Data da Competência],"&gt;="&amp;RESUMO!$C$4,Entradas[Data da Competência],"&lt;"&amp;RESUMO!$D$5,Entradas[Centro de Custos],X!$E$14,Entradas[Status],X!$E$13)</f>
        <v>0</v>
      </c>
      <c r="P137" s="277"/>
      <c r="Q137" s="105">
        <f>SUMIFS(Saidas[Valores],Saidas[Fornecedor],P137,Saidas[Data da Competência],"&gt;="&amp;RESUMO!$C$4,Saidas[Data da Competência],"&lt;"&amp;RESUMO!$D$5,Saidas[Centro de Custos],X!$E$14,Saidas[Status],X!$E$13)</f>
        <v>0</v>
      </c>
    </row>
    <row r="138">
      <c r="M138" s="277"/>
      <c r="N138" s="105">
        <f>SUMIFS(Entradas[Valores],Entradas[Cliente],M138,Entradas[Data da Competência],"&gt;="&amp;RESUMO!$C$4,Entradas[Data da Competência],"&lt;"&amp;RESUMO!$D$5,Entradas[Centro de Custos],X!$E$14,Entradas[Status],X!$E$13)</f>
        <v>0</v>
      </c>
      <c r="P138" s="277"/>
      <c r="Q138" s="105">
        <f>SUMIFS(Saidas[Valores],Saidas[Fornecedor],P138,Saidas[Data da Competência],"&gt;="&amp;RESUMO!$C$4,Saidas[Data da Competência],"&lt;"&amp;RESUMO!$D$5,Saidas[Centro de Custos],X!$E$14,Saidas[Status],X!$E$13)</f>
        <v>0</v>
      </c>
    </row>
    <row r="139">
      <c r="M139" s="277"/>
      <c r="N139" s="105">
        <f>SUMIFS(Entradas[Valores],Entradas[Cliente],M139,Entradas[Data da Competência],"&gt;="&amp;RESUMO!$C$4,Entradas[Data da Competência],"&lt;"&amp;RESUMO!$D$5,Entradas[Centro de Custos],X!$E$14,Entradas[Status],X!$E$13)</f>
        <v>0</v>
      </c>
      <c r="P139" s="277"/>
      <c r="Q139" s="105">
        <f>SUMIFS(Saidas[Valores],Saidas[Fornecedor],P139,Saidas[Data da Competência],"&gt;="&amp;RESUMO!$C$4,Saidas[Data da Competência],"&lt;"&amp;RESUMO!$D$5,Saidas[Centro de Custos],X!$E$14,Saidas[Status],X!$E$13)</f>
        <v>0</v>
      </c>
    </row>
    <row r="140">
      <c r="M140" s="277"/>
      <c r="N140" s="105">
        <f>SUMIFS(Entradas[Valores],Entradas[Cliente],M140,Entradas[Data da Competência],"&gt;="&amp;RESUMO!$C$4,Entradas[Data da Competência],"&lt;"&amp;RESUMO!$D$5,Entradas[Centro de Custos],X!$E$14,Entradas[Status],X!$E$13)</f>
        <v>0</v>
      </c>
      <c r="P140" s="277"/>
      <c r="Q140" s="105">
        <f>SUMIFS(Saidas[Valores],Saidas[Fornecedor],P140,Saidas[Data da Competência],"&gt;="&amp;RESUMO!$C$4,Saidas[Data da Competência],"&lt;"&amp;RESUMO!$D$5,Saidas[Centro de Custos],X!$E$14,Saidas[Status],X!$E$13)</f>
        <v>0</v>
      </c>
    </row>
    <row r="141">
      <c r="M141" s="277"/>
      <c r="N141" s="105">
        <f>SUMIFS(Entradas[Valores],Entradas[Cliente],M141,Entradas[Data da Competência],"&gt;="&amp;RESUMO!$C$4,Entradas[Data da Competência],"&lt;"&amp;RESUMO!$D$5,Entradas[Centro de Custos],X!$E$14,Entradas[Status],X!$E$13)</f>
        <v>0</v>
      </c>
      <c r="P141" s="277"/>
      <c r="Q141" s="105">
        <f>SUMIFS(Saidas[Valores],Saidas[Fornecedor],P141,Saidas[Data da Competência],"&gt;="&amp;RESUMO!$C$4,Saidas[Data da Competência],"&lt;"&amp;RESUMO!$D$5,Saidas[Centro de Custos],X!$E$14,Saidas[Status],X!$E$13)</f>
        <v>0</v>
      </c>
    </row>
    <row r="142">
      <c r="M142" s="277"/>
      <c r="N142" s="105">
        <f>SUMIFS(Entradas[Valores],Entradas[Cliente],M142,Entradas[Data da Competência],"&gt;="&amp;RESUMO!$C$4,Entradas[Data da Competência],"&lt;"&amp;RESUMO!$D$5,Entradas[Centro de Custos],X!$E$14,Entradas[Status],X!$E$13)</f>
        <v>0</v>
      </c>
      <c r="P142" s="277"/>
      <c r="Q142" s="105">
        <f>SUMIFS(Saidas[Valores],Saidas[Fornecedor],P142,Saidas[Data da Competência],"&gt;="&amp;RESUMO!$C$4,Saidas[Data da Competência],"&lt;"&amp;RESUMO!$D$5,Saidas[Centro de Custos],X!$E$14,Saidas[Status],X!$E$13)</f>
        <v>0</v>
      </c>
    </row>
    <row r="143">
      <c r="M143" s="277"/>
      <c r="N143" s="105">
        <f>SUMIFS(Entradas[Valores],Entradas[Cliente],M143,Entradas[Data da Competência],"&gt;="&amp;RESUMO!$C$4,Entradas[Data da Competência],"&lt;"&amp;RESUMO!$D$5,Entradas[Centro de Custos],X!$E$14,Entradas[Status],X!$E$13)</f>
        <v>0</v>
      </c>
      <c r="P143" s="277"/>
      <c r="Q143" s="105">
        <f>SUMIFS(Saidas[Valores],Saidas[Fornecedor],P143,Saidas[Data da Competência],"&gt;="&amp;RESUMO!$C$4,Saidas[Data da Competência],"&lt;"&amp;RESUMO!$D$5,Saidas[Centro de Custos],X!$E$14,Saidas[Status],X!$E$13)</f>
        <v>0</v>
      </c>
    </row>
    <row r="144">
      <c r="M144" s="277"/>
      <c r="N144" s="105">
        <f>SUMIFS(Entradas[Valores],Entradas[Cliente],M144,Entradas[Data da Competência],"&gt;="&amp;RESUMO!$C$4,Entradas[Data da Competência],"&lt;"&amp;RESUMO!$D$5,Entradas[Centro de Custos],X!$E$14,Entradas[Status],X!$E$13)</f>
        <v>0</v>
      </c>
      <c r="P144" s="277"/>
      <c r="Q144" s="105">
        <f>SUMIFS(Saidas[Valores],Saidas[Fornecedor],P144,Saidas[Data da Competência],"&gt;="&amp;RESUMO!$C$4,Saidas[Data da Competência],"&lt;"&amp;RESUMO!$D$5,Saidas[Centro de Custos],X!$E$14,Saidas[Status],X!$E$13)</f>
        <v>0</v>
      </c>
    </row>
    <row r="145">
      <c r="M145" s="277"/>
      <c r="N145" s="105">
        <f>SUMIFS(Entradas[Valores],Entradas[Cliente],M145,Entradas[Data da Competência],"&gt;="&amp;RESUMO!$C$4,Entradas[Data da Competência],"&lt;"&amp;RESUMO!$D$5,Entradas[Centro de Custos],X!$E$14,Entradas[Status],X!$E$13)</f>
        <v>0</v>
      </c>
      <c r="P145" s="277"/>
      <c r="Q145" s="105">
        <f>SUMIFS(Saidas[Valores],Saidas[Fornecedor],P145,Saidas[Data da Competência],"&gt;="&amp;RESUMO!$C$4,Saidas[Data da Competência],"&lt;"&amp;RESUMO!$D$5,Saidas[Centro de Custos],X!$E$14,Saidas[Status],X!$E$13)</f>
        <v>0</v>
      </c>
    </row>
    <row r="146">
      <c r="M146" s="277"/>
      <c r="N146" s="105">
        <f>SUMIFS(Entradas[Valores],Entradas[Cliente],M146,Entradas[Data da Competência],"&gt;="&amp;RESUMO!$C$4,Entradas[Data da Competência],"&lt;"&amp;RESUMO!$D$5,Entradas[Centro de Custos],X!$E$14,Entradas[Status],X!$E$13)</f>
        <v>0</v>
      </c>
      <c r="P146" s="277"/>
      <c r="Q146" s="105">
        <f>SUMIFS(Saidas[Valores],Saidas[Fornecedor],P146,Saidas[Data da Competência],"&gt;="&amp;RESUMO!$C$4,Saidas[Data da Competência],"&lt;"&amp;RESUMO!$D$5,Saidas[Centro de Custos],X!$E$14,Saidas[Status],X!$E$13)</f>
        <v>0</v>
      </c>
    </row>
    <row r="147">
      <c r="M147" s="277"/>
      <c r="N147" s="105">
        <f>SUMIFS(Entradas[Valores],Entradas[Cliente],M147,Entradas[Data da Competência],"&gt;="&amp;RESUMO!$C$4,Entradas[Data da Competência],"&lt;"&amp;RESUMO!$D$5,Entradas[Centro de Custos],X!$E$14,Entradas[Status],X!$E$13)</f>
        <v>0</v>
      </c>
      <c r="P147" s="277"/>
      <c r="Q147" s="105">
        <f>SUMIFS(Saidas[Valores],Saidas[Fornecedor],P147,Saidas[Data da Competência],"&gt;="&amp;RESUMO!$C$4,Saidas[Data da Competência],"&lt;"&amp;RESUMO!$D$5,Saidas[Centro de Custos],X!$E$14,Saidas[Status],X!$E$13)</f>
        <v>0</v>
      </c>
    </row>
    <row r="148">
      <c r="M148" s="277"/>
      <c r="N148" s="105">
        <f>SUMIFS(Entradas[Valores],Entradas[Cliente],M148,Entradas[Data da Competência],"&gt;="&amp;RESUMO!$C$4,Entradas[Data da Competência],"&lt;"&amp;RESUMO!$D$5,Entradas[Centro de Custos],X!$E$14,Entradas[Status],X!$E$13)</f>
        <v>0</v>
      </c>
      <c r="P148" s="277"/>
      <c r="Q148" s="105">
        <f>SUMIFS(Saidas[Valores],Saidas[Fornecedor],P148,Saidas[Data da Competência],"&gt;="&amp;RESUMO!$C$4,Saidas[Data da Competência],"&lt;"&amp;RESUMO!$D$5,Saidas[Centro de Custos],X!$E$14,Saidas[Status],X!$E$13)</f>
        <v>0</v>
      </c>
    </row>
    <row r="149">
      <c r="M149" s="277"/>
      <c r="N149" s="105">
        <f>SUMIFS(Entradas[Valores],Entradas[Cliente],M149,Entradas[Data da Competência],"&gt;="&amp;RESUMO!$C$4,Entradas[Data da Competência],"&lt;"&amp;RESUMO!$D$5,Entradas[Centro de Custos],X!$E$14,Entradas[Status],X!$E$13)</f>
        <v>0</v>
      </c>
      <c r="P149" s="277"/>
      <c r="Q149" s="105">
        <f>SUMIFS(Saidas[Valores],Saidas[Fornecedor],P149,Saidas[Data da Competência],"&gt;="&amp;RESUMO!$C$4,Saidas[Data da Competência],"&lt;"&amp;RESUMO!$D$5,Saidas[Centro de Custos],X!$E$14,Saidas[Status],X!$E$13)</f>
        <v>0</v>
      </c>
    </row>
    <row r="150">
      <c r="M150" s="277"/>
      <c r="N150" s="105">
        <f>SUMIFS(Entradas[Valores],Entradas[Cliente],M150,Entradas[Data da Competência],"&gt;="&amp;RESUMO!$C$4,Entradas[Data da Competência],"&lt;"&amp;RESUMO!$D$5,Entradas[Centro de Custos],X!$E$14,Entradas[Status],X!$E$13)</f>
        <v>0</v>
      </c>
      <c r="P150" s="277"/>
      <c r="Q150" s="105">
        <f>SUMIFS(Saidas[Valores],Saidas[Fornecedor],P150,Saidas[Data da Competência],"&gt;="&amp;RESUMO!$C$4,Saidas[Data da Competência],"&lt;"&amp;RESUMO!$D$5,Saidas[Centro de Custos],X!$E$14,Saidas[Status],X!$E$13)</f>
        <v>0</v>
      </c>
    </row>
    <row r="151">
      <c r="M151" s="277"/>
      <c r="N151" s="105">
        <f>SUMIFS(Entradas[Valores],Entradas[Cliente],M151,Entradas[Data da Competência],"&gt;="&amp;RESUMO!$C$4,Entradas[Data da Competência],"&lt;"&amp;RESUMO!$D$5,Entradas[Centro de Custos],X!$E$14,Entradas[Status],X!$E$13)</f>
        <v>0</v>
      </c>
      <c r="P151" s="277"/>
      <c r="Q151" s="105">
        <f>SUMIFS(Saidas[Valores],Saidas[Fornecedor],P151,Saidas[Data da Competência],"&gt;="&amp;RESUMO!$C$4,Saidas[Data da Competência],"&lt;"&amp;RESUMO!$D$5,Saidas[Centro de Custos],X!$E$14,Saidas[Status],X!$E$13)</f>
        <v>0</v>
      </c>
    </row>
    <row r="152">
      <c r="M152" s="277"/>
      <c r="N152" s="105">
        <f>SUMIFS(Entradas[Valores],Entradas[Cliente],M152,Entradas[Data da Competência],"&gt;="&amp;RESUMO!$C$4,Entradas[Data da Competência],"&lt;"&amp;RESUMO!$D$5,Entradas[Centro de Custos],X!$E$14,Entradas[Status],X!$E$13)</f>
        <v>0</v>
      </c>
      <c r="P152" s="277"/>
      <c r="Q152" s="105">
        <f>SUMIFS(Saidas[Valores],Saidas[Fornecedor],P152,Saidas[Data da Competência],"&gt;="&amp;RESUMO!$C$4,Saidas[Data da Competência],"&lt;"&amp;RESUMO!$D$5,Saidas[Centro de Custos],X!$E$14,Saidas[Status],X!$E$13)</f>
        <v>0</v>
      </c>
    </row>
    <row r="153">
      <c r="M153" s="277"/>
      <c r="N153" s="105">
        <f>SUMIFS(Entradas[Valores],Entradas[Cliente],M153,Entradas[Data da Competência],"&gt;="&amp;RESUMO!$C$4,Entradas[Data da Competência],"&lt;"&amp;RESUMO!$D$5,Entradas[Centro de Custos],X!$E$14,Entradas[Status],X!$E$13)</f>
        <v>0</v>
      </c>
      <c r="P153" s="277"/>
      <c r="Q153" s="105">
        <f>SUMIFS(Saidas[Valores],Saidas[Fornecedor],P153,Saidas[Data da Competência],"&gt;="&amp;RESUMO!$C$4,Saidas[Data da Competência],"&lt;"&amp;RESUMO!$D$5,Saidas[Centro de Custos],X!$E$14,Saidas[Status],X!$E$13)</f>
        <v>0</v>
      </c>
    </row>
    <row r="154">
      <c r="M154" s="277"/>
      <c r="N154" s="105">
        <f>SUMIFS(Entradas[Valores],Entradas[Cliente],M154,Entradas[Data da Competência],"&gt;="&amp;RESUMO!$C$4,Entradas[Data da Competência],"&lt;"&amp;RESUMO!$D$5,Entradas[Centro de Custos],X!$E$14,Entradas[Status],X!$E$13)</f>
        <v>0</v>
      </c>
      <c r="P154" s="277"/>
      <c r="Q154" s="105">
        <f>SUMIFS(Saidas[Valores],Saidas[Fornecedor],P154,Saidas[Data da Competência],"&gt;="&amp;RESUMO!$C$4,Saidas[Data da Competência],"&lt;"&amp;RESUMO!$D$5,Saidas[Centro de Custos],X!$E$14,Saidas[Status],X!$E$13)</f>
        <v>0</v>
      </c>
    </row>
    <row r="155">
      <c r="M155" s="277"/>
      <c r="N155" s="105">
        <f>SUMIFS(Entradas[Valores],Entradas[Cliente],M155,Entradas[Data da Competência],"&gt;="&amp;RESUMO!$C$4,Entradas[Data da Competência],"&lt;"&amp;RESUMO!$D$5,Entradas[Centro de Custos],X!$E$14,Entradas[Status],X!$E$13)</f>
        <v>0</v>
      </c>
      <c r="P155" s="277"/>
      <c r="Q155" s="105">
        <f>SUMIFS(Saidas[Valores],Saidas[Fornecedor],P155,Saidas[Data da Competência],"&gt;="&amp;RESUMO!$C$4,Saidas[Data da Competência],"&lt;"&amp;RESUMO!$D$5,Saidas[Centro de Custos],X!$E$14,Saidas[Status],X!$E$13)</f>
        <v>0</v>
      </c>
    </row>
    <row r="156">
      <c r="M156" s="277"/>
      <c r="N156" s="105">
        <f>SUMIFS(Entradas[Valores],Entradas[Cliente],M156,Entradas[Data da Competência],"&gt;="&amp;RESUMO!$C$4,Entradas[Data da Competência],"&lt;"&amp;RESUMO!$D$5,Entradas[Centro de Custos],X!$E$14,Entradas[Status],X!$E$13)</f>
        <v>0</v>
      </c>
      <c r="P156" s="277"/>
      <c r="Q156" s="105">
        <f>SUMIFS(Saidas[Valores],Saidas[Fornecedor],P156,Saidas[Data da Competência],"&gt;="&amp;RESUMO!$C$4,Saidas[Data da Competência],"&lt;"&amp;RESUMO!$D$5,Saidas[Centro de Custos],X!$E$14,Saidas[Status],X!$E$13)</f>
        <v>0</v>
      </c>
    </row>
    <row r="157">
      <c r="M157" s="277"/>
      <c r="N157" s="105">
        <f>SUMIFS(Entradas[Valores],Entradas[Cliente],M157,Entradas[Data da Competência],"&gt;="&amp;RESUMO!$C$4,Entradas[Data da Competência],"&lt;"&amp;RESUMO!$D$5,Entradas[Centro de Custos],X!$E$14,Entradas[Status],X!$E$13)</f>
        <v>0</v>
      </c>
      <c r="P157" s="277"/>
      <c r="Q157" s="105">
        <f>SUMIFS(Saidas[Valores],Saidas[Fornecedor],P157,Saidas[Data da Competência],"&gt;="&amp;RESUMO!$C$4,Saidas[Data da Competência],"&lt;"&amp;RESUMO!$D$5,Saidas[Centro de Custos],X!$E$14,Saidas[Status],X!$E$13)</f>
        <v>0</v>
      </c>
    </row>
    <row r="158">
      <c r="M158" s="277"/>
      <c r="N158" s="105">
        <f>SUMIFS(Entradas[Valores],Entradas[Cliente],M158,Entradas[Data da Competência],"&gt;="&amp;RESUMO!$C$4,Entradas[Data da Competência],"&lt;"&amp;RESUMO!$D$5,Entradas[Centro de Custos],X!$E$14,Entradas[Status],X!$E$13)</f>
        <v>0</v>
      </c>
      <c r="P158" s="277"/>
      <c r="Q158" s="105">
        <f>SUMIFS(Saidas[Valores],Saidas[Fornecedor],P158,Saidas[Data da Competência],"&gt;="&amp;RESUMO!$C$4,Saidas[Data da Competência],"&lt;"&amp;RESUMO!$D$5,Saidas[Centro de Custos],X!$E$14,Saidas[Status],X!$E$13)</f>
        <v>0</v>
      </c>
    </row>
    <row r="159">
      <c r="M159" s="277"/>
      <c r="N159" s="105">
        <f>SUMIFS(Entradas[Valores],Entradas[Cliente],M159,Entradas[Data da Competência],"&gt;="&amp;RESUMO!$C$4,Entradas[Data da Competência],"&lt;"&amp;RESUMO!$D$5,Entradas[Centro de Custos],X!$E$14,Entradas[Status],X!$E$13)</f>
        <v>0</v>
      </c>
      <c r="P159" s="277"/>
      <c r="Q159" s="105">
        <f>SUMIFS(Saidas[Valores],Saidas[Fornecedor],P159,Saidas[Data da Competência],"&gt;="&amp;RESUMO!$C$4,Saidas[Data da Competência],"&lt;"&amp;RESUMO!$D$5,Saidas[Centro de Custos],X!$E$14,Saidas[Status],X!$E$13)</f>
        <v>0</v>
      </c>
    </row>
    <row r="160">
      <c r="M160" s="277"/>
      <c r="N160" s="105">
        <f>SUMIFS(Entradas[Valores],Entradas[Cliente],M160,Entradas[Data da Competência],"&gt;="&amp;RESUMO!$C$4,Entradas[Data da Competência],"&lt;"&amp;RESUMO!$D$5,Entradas[Centro de Custos],X!$E$14,Entradas[Status],X!$E$13)</f>
        <v>0</v>
      </c>
      <c r="P160" s="277"/>
      <c r="Q160" s="105">
        <f>SUMIFS(Saidas[Valores],Saidas[Fornecedor],P160,Saidas[Data da Competência],"&gt;="&amp;RESUMO!$C$4,Saidas[Data da Competência],"&lt;"&amp;RESUMO!$D$5,Saidas[Centro de Custos],X!$E$14,Saidas[Status],X!$E$13)</f>
        <v>0</v>
      </c>
    </row>
    <row r="161">
      <c r="M161" s="277"/>
      <c r="N161" s="105">
        <f>SUMIFS(Entradas[Valores],Entradas[Cliente],M161,Entradas[Data da Competência],"&gt;="&amp;RESUMO!$C$4,Entradas[Data da Competência],"&lt;"&amp;RESUMO!$D$5,Entradas[Centro de Custos],X!$E$14,Entradas[Status],X!$E$13)</f>
        <v>0</v>
      </c>
      <c r="P161" s="277"/>
      <c r="Q161" s="105">
        <f>SUMIFS(Saidas[Valores],Saidas[Fornecedor],P161,Saidas[Data da Competência],"&gt;="&amp;RESUMO!$C$4,Saidas[Data da Competência],"&lt;"&amp;RESUMO!$D$5,Saidas[Centro de Custos],X!$E$14,Saidas[Status],X!$E$13)</f>
        <v>0</v>
      </c>
    </row>
    <row r="162">
      <c r="M162" s="277"/>
      <c r="N162" s="105">
        <f>SUMIFS(Entradas[Valores],Entradas[Cliente],M162,Entradas[Data da Competência],"&gt;="&amp;RESUMO!$C$4,Entradas[Data da Competência],"&lt;"&amp;RESUMO!$D$5,Entradas[Centro de Custos],X!$E$14,Entradas[Status],X!$E$13)</f>
        <v>0</v>
      </c>
      <c r="P162" s="277"/>
      <c r="Q162" s="105">
        <f>SUMIFS(Saidas[Valores],Saidas[Fornecedor],P162,Saidas[Data da Competência],"&gt;="&amp;RESUMO!$C$4,Saidas[Data da Competência],"&lt;"&amp;RESUMO!$D$5,Saidas[Centro de Custos],X!$E$14,Saidas[Status],X!$E$13)</f>
        <v>0</v>
      </c>
    </row>
    <row r="163">
      <c r="M163" s="277"/>
      <c r="N163" s="105">
        <f>SUMIFS(Entradas[Valores],Entradas[Cliente],M163,Entradas[Data da Competência],"&gt;="&amp;RESUMO!$C$4,Entradas[Data da Competência],"&lt;"&amp;RESUMO!$D$5,Entradas[Centro de Custos],X!$E$14,Entradas[Status],X!$E$13)</f>
        <v>0</v>
      </c>
      <c r="P163" s="277"/>
      <c r="Q163" s="105">
        <f>SUMIFS(Saidas[Valores],Saidas[Fornecedor],P163,Saidas[Data da Competência],"&gt;="&amp;RESUMO!$C$4,Saidas[Data da Competência],"&lt;"&amp;RESUMO!$D$5,Saidas[Centro de Custos],X!$E$14,Saidas[Status],X!$E$13)</f>
        <v>0</v>
      </c>
    </row>
    <row r="164">
      <c r="M164" s="277"/>
      <c r="N164" s="105">
        <f>SUMIFS(Entradas[Valores],Entradas[Cliente],M164,Entradas[Data da Competência],"&gt;="&amp;RESUMO!$C$4,Entradas[Data da Competência],"&lt;"&amp;RESUMO!$D$5,Entradas[Centro de Custos],X!$E$14,Entradas[Status],X!$E$13)</f>
        <v>0</v>
      </c>
      <c r="P164" s="277"/>
      <c r="Q164" s="105">
        <f>SUMIFS(Saidas[Valores],Saidas[Fornecedor],P164,Saidas[Data da Competência],"&gt;="&amp;RESUMO!$C$4,Saidas[Data da Competência],"&lt;"&amp;RESUMO!$D$5,Saidas[Centro de Custos],X!$E$14,Saidas[Status],X!$E$13)</f>
        <v>0</v>
      </c>
    </row>
    <row r="165">
      <c r="M165" s="277"/>
      <c r="N165" s="105">
        <f>SUMIFS(Entradas[Valores],Entradas[Cliente],M165,Entradas[Data da Competência],"&gt;="&amp;RESUMO!$C$4,Entradas[Data da Competência],"&lt;"&amp;RESUMO!$D$5,Entradas[Centro de Custos],X!$E$14,Entradas[Status],X!$E$13)</f>
        <v>0</v>
      </c>
      <c r="P165" s="277"/>
      <c r="Q165" s="105">
        <f>SUMIFS(Saidas[Valores],Saidas[Fornecedor],P165,Saidas[Data da Competência],"&gt;="&amp;RESUMO!$C$4,Saidas[Data da Competência],"&lt;"&amp;RESUMO!$D$5,Saidas[Centro de Custos],X!$E$14,Saidas[Status],X!$E$13)</f>
        <v>0</v>
      </c>
    </row>
    <row r="166">
      <c r="M166" s="277"/>
      <c r="N166" s="105">
        <f>SUMIFS(Entradas[Valores],Entradas[Cliente],M166,Entradas[Data da Competência],"&gt;="&amp;RESUMO!$C$4,Entradas[Data da Competência],"&lt;"&amp;RESUMO!$D$5,Entradas[Centro de Custos],X!$E$14,Entradas[Status],X!$E$13)</f>
        <v>0</v>
      </c>
      <c r="P166" s="277"/>
      <c r="Q166" s="105">
        <f>SUMIFS(Saidas[Valores],Saidas[Fornecedor],P166,Saidas[Data da Competência],"&gt;="&amp;RESUMO!$C$4,Saidas[Data da Competência],"&lt;"&amp;RESUMO!$D$5,Saidas[Centro de Custos],X!$E$14,Saidas[Status],X!$E$13)</f>
        <v>0</v>
      </c>
    </row>
    <row r="167">
      <c r="M167" s="277"/>
      <c r="N167" s="105">
        <f>SUMIFS(Entradas[Valores],Entradas[Cliente],M167,Entradas[Data da Competência],"&gt;="&amp;RESUMO!$C$4,Entradas[Data da Competência],"&lt;"&amp;RESUMO!$D$5,Entradas[Centro de Custos],X!$E$14,Entradas[Status],X!$E$13)</f>
        <v>0</v>
      </c>
      <c r="P167" s="277"/>
      <c r="Q167" s="105">
        <f>SUMIFS(Saidas[Valores],Saidas[Fornecedor],P167,Saidas[Data da Competência],"&gt;="&amp;RESUMO!$C$4,Saidas[Data da Competência],"&lt;"&amp;RESUMO!$D$5,Saidas[Centro de Custos],X!$E$14,Saidas[Status],X!$E$13)</f>
        <v>0</v>
      </c>
    </row>
    <row r="168">
      <c r="M168" s="277"/>
      <c r="N168" s="105">
        <f>SUMIFS(Entradas[Valores],Entradas[Cliente],M168,Entradas[Data da Competência],"&gt;="&amp;RESUMO!$C$4,Entradas[Data da Competência],"&lt;"&amp;RESUMO!$D$5,Entradas[Centro de Custos],X!$E$14,Entradas[Status],X!$E$13)</f>
        <v>0</v>
      </c>
      <c r="P168" s="277"/>
      <c r="Q168" s="105">
        <f>SUMIFS(Saidas[Valores],Saidas[Fornecedor],P168,Saidas[Data da Competência],"&gt;="&amp;RESUMO!$C$4,Saidas[Data da Competência],"&lt;"&amp;RESUMO!$D$5,Saidas[Centro de Custos],X!$E$14,Saidas[Status],X!$E$13)</f>
        <v>0</v>
      </c>
    </row>
    <row r="169">
      <c r="M169" s="277"/>
      <c r="N169" s="105">
        <f>SUMIFS(Entradas[Valores],Entradas[Cliente],M169,Entradas[Data da Competência],"&gt;="&amp;RESUMO!$C$4,Entradas[Data da Competência],"&lt;"&amp;RESUMO!$D$5,Entradas[Centro de Custos],X!$E$14,Entradas[Status],X!$E$13)</f>
        <v>0</v>
      </c>
      <c r="P169" s="277"/>
      <c r="Q169" s="105">
        <f>SUMIFS(Saidas[Valores],Saidas[Fornecedor],P169,Saidas[Data da Competência],"&gt;="&amp;RESUMO!$C$4,Saidas[Data da Competência],"&lt;"&amp;RESUMO!$D$5,Saidas[Centro de Custos],X!$E$14,Saidas[Status],X!$E$13)</f>
        <v>0</v>
      </c>
    </row>
    <row r="170">
      <c r="M170" s="277"/>
      <c r="N170" s="105">
        <f>SUMIFS(Entradas[Valores],Entradas[Cliente],M170,Entradas[Data da Competência],"&gt;="&amp;RESUMO!$C$4,Entradas[Data da Competência],"&lt;"&amp;RESUMO!$D$5,Entradas[Centro de Custos],X!$E$14,Entradas[Status],X!$E$13)</f>
        <v>0</v>
      </c>
      <c r="P170" s="277"/>
      <c r="Q170" s="105">
        <f>SUMIFS(Saidas[Valores],Saidas[Fornecedor],P170,Saidas[Data da Competência],"&gt;="&amp;RESUMO!$C$4,Saidas[Data da Competência],"&lt;"&amp;RESUMO!$D$5,Saidas[Centro de Custos],X!$E$14,Saidas[Status],X!$E$13)</f>
        <v>0</v>
      </c>
    </row>
    <row r="171">
      <c r="M171" s="277"/>
      <c r="N171" s="105">
        <f>SUMIFS(Entradas[Valores],Entradas[Cliente],M171,Entradas[Data da Competência],"&gt;="&amp;RESUMO!$C$4,Entradas[Data da Competência],"&lt;"&amp;RESUMO!$D$5,Entradas[Centro de Custos],X!$E$14,Entradas[Status],X!$E$13)</f>
        <v>0</v>
      </c>
      <c r="P171" s="277"/>
      <c r="Q171" s="105">
        <f>SUMIFS(Saidas[Valores],Saidas[Fornecedor],P171,Saidas[Data da Competência],"&gt;="&amp;RESUMO!$C$4,Saidas[Data da Competência],"&lt;"&amp;RESUMO!$D$5,Saidas[Centro de Custos],X!$E$14,Saidas[Status],X!$E$13)</f>
        <v>0</v>
      </c>
    </row>
    <row r="172">
      <c r="M172" s="277"/>
      <c r="N172" s="105">
        <f>SUMIFS(Entradas[Valores],Entradas[Cliente],M172,Entradas[Data da Competência],"&gt;="&amp;RESUMO!$C$4,Entradas[Data da Competência],"&lt;"&amp;RESUMO!$D$5,Entradas[Centro de Custos],X!$E$14,Entradas[Status],X!$E$13)</f>
        <v>0</v>
      </c>
      <c r="P172" s="277"/>
      <c r="Q172" s="105">
        <f>SUMIFS(Saidas[Valores],Saidas[Fornecedor],P172,Saidas[Data da Competência],"&gt;="&amp;RESUMO!$C$4,Saidas[Data da Competência],"&lt;"&amp;RESUMO!$D$5,Saidas[Centro de Custos],X!$E$14,Saidas[Status],X!$E$13)</f>
        <v>0</v>
      </c>
    </row>
    <row r="173">
      <c r="M173" s="277"/>
      <c r="N173" s="105">
        <f>SUMIFS(Entradas[Valores],Entradas[Cliente],M173,Entradas[Data da Competência],"&gt;="&amp;RESUMO!$C$4,Entradas[Data da Competência],"&lt;"&amp;RESUMO!$D$5,Entradas[Centro de Custos],X!$E$14,Entradas[Status],X!$E$13)</f>
        <v>0</v>
      </c>
      <c r="P173" s="277"/>
      <c r="Q173" s="105">
        <f>SUMIFS(Saidas[Valores],Saidas[Fornecedor],P173,Saidas[Data da Competência],"&gt;="&amp;RESUMO!$C$4,Saidas[Data da Competência],"&lt;"&amp;RESUMO!$D$5,Saidas[Centro de Custos],X!$E$14,Saidas[Status],X!$E$13)</f>
        <v>0</v>
      </c>
    </row>
    <row r="174">
      <c r="M174" s="277"/>
      <c r="N174" s="105">
        <f>SUMIFS(Entradas[Valores],Entradas[Cliente],M174,Entradas[Data da Competência],"&gt;="&amp;RESUMO!$C$4,Entradas[Data da Competência],"&lt;"&amp;RESUMO!$D$5,Entradas[Centro de Custos],X!$E$14,Entradas[Status],X!$E$13)</f>
        <v>0</v>
      </c>
      <c r="P174" s="277"/>
      <c r="Q174" s="105">
        <f>SUMIFS(Saidas[Valores],Saidas[Fornecedor],P174,Saidas[Data da Competência],"&gt;="&amp;RESUMO!$C$4,Saidas[Data da Competência],"&lt;"&amp;RESUMO!$D$5,Saidas[Centro de Custos],X!$E$14,Saidas[Status],X!$E$13)</f>
        <v>0</v>
      </c>
    </row>
    <row r="175">
      <c r="M175" s="277"/>
      <c r="N175" s="105">
        <f>SUMIFS(Entradas[Valores],Entradas[Cliente],M175,Entradas[Data da Competência],"&gt;="&amp;RESUMO!$C$4,Entradas[Data da Competência],"&lt;"&amp;RESUMO!$D$5,Entradas[Centro de Custos],X!$E$14,Entradas[Status],X!$E$13)</f>
        <v>0</v>
      </c>
      <c r="P175" s="277"/>
      <c r="Q175" s="105">
        <f>SUMIFS(Saidas[Valores],Saidas[Fornecedor],P175,Saidas[Data da Competência],"&gt;="&amp;RESUMO!$C$4,Saidas[Data da Competência],"&lt;"&amp;RESUMO!$D$5,Saidas[Centro de Custos],X!$E$14,Saidas[Status],X!$E$13)</f>
        <v>0</v>
      </c>
    </row>
    <row r="176">
      <c r="M176" s="277"/>
      <c r="N176" s="105">
        <f>SUMIFS(Entradas[Valores],Entradas[Cliente],M176,Entradas[Data da Competência],"&gt;="&amp;RESUMO!$C$4,Entradas[Data da Competência],"&lt;"&amp;RESUMO!$D$5,Entradas[Centro de Custos],X!$E$14,Entradas[Status],X!$E$13)</f>
        <v>0</v>
      </c>
      <c r="P176" s="277"/>
      <c r="Q176" s="105">
        <f>SUMIFS(Saidas[Valores],Saidas[Fornecedor],P176,Saidas[Data da Competência],"&gt;="&amp;RESUMO!$C$4,Saidas[Data da Competência],"&lt;"&amp;RESUMO!$D$5,Saidas[Centro de Custos],X!$E$14,Saidas[Status],X!$E$13)</f>
        <v>0</v>
      </c>
    </row>
    <row r="177">
      <c r="M177" s="277"/>
      <c r="N177" s="105">
        <f>SUMIFS(Entradas[Valores],Entradas[Cliente],M177,Entradas[Data da Competência],"&gt;="&amp;RESUMO!$C$4,Entradas[Data da Competência],"&lt;"&amp;RESUMO!$D$5,Entradas[Centro de Custos],X!$E$14,Entradas[Status],X!$E$13)</f>
        <v>0</v>
      </c>
      <c r="P177" s="277"/>
      <c r="Q177" s="105">
        <f>SUMIFS(Saidas[Valores],Saidas[Fornecedor],P177,Saidas[Data da Competência],"&gt;="&amp;RESUMO!$C$4,Saidas[Data da Competência],"&lt;"&amp;RESUMO!$D$5,Saidas[Centro de Custos],X!$E$14,Saidas[Status],X!$E$13)</f>
        <v>0</v>
      </c>
    </row>
    <row r="178">
      <c r="M178" s="277"/>
      <c r="N178" s="105">
        <f>SUMIFS(Entradas[Valores],Entradas[Cliente],M178,Entradas[Data da Competência],"&gt;="&amp;RESUMO!$C$4,Entradas[Data da Competência],"&lt;"&amp;RESUMO!$D$5,Entradas[Centro de Custos],X!$E$14,Entradas[Status],X!$E$13)</f>
        <v>0</v>
      </c>
      <c r="P178" s="277"/>
      <c r="Q178" s="105">
        <f>SUMIFS(Saidas[Valores],Saidas[Fornecedor],P178,Saidas[Data da Competência],"&gt;="&amp;RESUMO!$C$4,Saidas[Data da Competência],"&lt;"&amp;RESUMO!$D$5,Saidas[Centro de Custos],X!$E$14,Saidas[Status],X!$E$13)</f>
        <v>0</v>
      </c>
    </row>
    <row r="179">
      <c r="M179" s="277"/>
      <c r="N179" s="105">
        <f>SUMIFS(Entradas[Valores],Entradas[Cliente],M179,Entradas[Data da Competência],"&gt;="&amp;RESUMO!$C$4,Entradas[Data da Competência],"&lt;"&amp;RESUMO!$D$5,Entradas[Centro de Custos],X!$E$14,Entradas[Status],X!$E$13)</f>
        <v>0</v>
      </c>
      <c r="P179" s="277"/>
      <c r="Q179" s="105">
        <f>SUMIFS(Saidas[Valores],Saidas[Fornecedor],P179,Saidas[Data da Competência],"&gt;="&amp;RESUMO!$C$4,Saidas[Data da Competência],"&lt;"&amp;RESUMO!$D$5,Saidas[Centro de Custos],X!$E$14,Saidas[Status],X!$E$13)</f>
        <v>0</v>
      </c>
    </row>
    <row r="180">
      <c r="M180" s="277"/>
      <c r="N180" s="105">
        <f>SUMIFS(Entradas[Valores],Entradas[Cliente],M180,Entradas[Data da Competência],"&gt;="&amp;RESUMO!$C$4,Entradas[Data da Competência],"&lt;"&amp;RESUMO!$D$5,Entradas[Centro de Custos],X!$E$14,Entradas[Status],X!$E$13)</f>
        <v>0</v>
      </c>
      <c r="P180" s="277"/>
      <c r="Q180" s="105">
        <f>SUMIFS(Saidas[Valores],Saidas[Fornecedor],P180,Saidas[Data da Competência],"&gt;="&amp;RESUMO!$C$4,Saidas[Data da Competência],"&lt;"&amp;RESUMO!$D$5,Saidas[Centro de Custos],X!$E$14,Saidas[Status],X!$E$13)</f>
        <v>0</v>
      </c>
    </row>
    <row r="181">
      <c r="M181" s="277"/>
      <c r="N181" s="105">
        <f>SUMIFS(Entradas[Valores],Entradas[Cliente],M181,Entradas[Data da Competência],"&gt;="&amp;RESUMO!$C$4,Entradas[Data da Competência],"&lt;"&amp;RESUMO!$D$5,Entradas[Centro de Custos],X!$E$14,Entradas[Status],X!$E$13)</f>
        <v>0</v>
      </c>
      <c r="P181" s="277"/>
      <c r="Q181" s="105">
        <f>SUMIFS(Saidas[Valores],Saidas[Fornecedor],P181,Saidas[Data da Competência],"&gt;="&amp;RESUMO!$C$4,Saidas[Data da Competência],"&lt;"&amp;RESUMO!$D$5,Saidas[Centro de Custos],X!$E$14,Saidas[Status],X!$E$13)</f>
        <v>0</v>
      </c>
    </row>
    <row r="182">
      <c r="M182" s="277"/>
      <c r="N182" s="105">
        <f>SUMIFS(Entradas[Valores],Entradas[Cliente],M182,Entradas[Data da Competência],"&gt;="&amp;RESUMO!$C$4,Entradas[Data da Competência],"&lt;"&amp;RESUMO!$D$5,Entradas[Centro de Custos],X!$E$14,Entradas[Status],X!$E$13)</f>
        <v>0</v>
      </c>
      <c r="P182" s="277"/>
      <c r="Q182" s="105">
        <f>SUMIFS(Saidas[Valores],Saidas[Fornecedor],P182,Saidas[Data da Competência],"&gt;="&amp;RESUMO!$C$4,Saidas[Data da Competência],"&lt;"&amp;RESUMO!$D$5,Saidas[Centro de Custos],X!$E$14,Saidas[Status],X!$E$13)</f>
        <v>0</v>
      </c>
    </row>
    <row r="183">
      <c r="M183" s="277"/>
      <c r="N183" s="105">
        <f>SUMIFS(Entradas[Valores],Entradas[Cliente],M183,Entradas[Data da Competência],"&gt;="&amp;RESUMO!$C$4,Entradas[Data da Competência],"&lt;"&amp;RESUMO!$D$5,Entradas[Centro de Custos],X!$E$14,Entradas[Status],X!$E$13)</f>
        <v>0</v>
      </c>
      <c r="P183" s="277"/>
      <c r="Q183" s="105">
        <f>SUMIFS(Saidas[Valores],Saidas[Fornecedor],P183,Saidas[Data da Competência],"&gt;="&amp;RESUMO!$C$4,Saidas[Data da Competência],"&lt;"&amp;RESUMO!$D$5,Saidas[Centro de Custos],X!$E$14,Saidas[Status],X!$E$13)</f>
        <v>0</v>
      </c>
    </row>
    <row r="184">
      <c r="M184" s="277"/>
      <c r="N184" s="105">
        <f>SUMIFS(Entradas[Valores],Entradas[Cliente],M184,Entradas[Data da Competência],"&gt;="&amp;RESUMO!$C$4,Entradas[Data da Competência],"&lt;"&amp;RESUMO!$D$5,Entradas[Centro de Custos],X!$E$14,Entradas[Status],X!$E$13)</f>
        <v>0</v>
      </c>
      <c r="P184" s="277"/>
      <c r="Q184" s="105">
        <f>SUMIFS(Saidas[Valores],Saidas[Fornecedor],P184,Saidas[Data da Competência],"&gt;="&amp;RESUMO!$C$4,Saidas[Data da Competência],"&lt;"&amp;RESUMO!$D$5,Saidas[Centro de Custos],X!$E$14,Saidas[Status],X!$E$13)</f>
        <v>0</v>
      </c>
    </row>
    <row r="185">
      <c r="M185" s="277"/>
      <c r="N185" s="105">
        <f>SUMIFS(Entradas[Valores],Entradas[Cliente],M185,Entradas[Data da Competência],"&gt;="&amp;RESUMO!$C$4,Entradas[Data da Competência],"&lt;"&amp;RESUMO!$D$5,Entradas[Centro de Custos],X!$E$14,Entradas[Status],X!$E$13)</f>
        <v>0</v>
      </c>
      <c r="P185" s="277"/>
      <c r="Q185" s="105">
        <f>SUMIFS(Saidas[Valores],Saidas[Fornecedor],P185,Saidas[Data da Competência],"&gt;="&amp;RESUMO!$C$4,Saidas[Data da Competência],"&lt;"&amp;RESUMO!$D$5,Saidas[Centro de Custos],X!$E$14,Saidas[Status],X!$E$13)</f>
        <v>0</v>
      </c>
    </row>
    <row r="186">
      <c r="M186" s="277"/>
      <c r="N186" s="105">
        <f>SUMIFS(Entradas[Valores],Entradas[Cliente],M186,Entradas[Data da Competência],"&gt;="&amp;RESUMO!$C$4,Entradas[Data da Competência],"&lt;"&amp;RESUMO!$D$5,Entradas[Centro de Custos],X!$E$14,Entradas[Status],X!$E$13)</f>
        <v>0</v>
      </c>
      <c r="P186" s="277"/>
      <c r="Q186" s="105">
        <f>SUMIFS(Saidas[Valores],Saidas[Fornecedor],P186,Saidas[Data da Competência],"&gt;="&amp;RESUMO!$C$4,Saidas[Data da Competência],"&lt;"&amp;RESUMO!$D$5,Saidas[Centro de Custos],X!$E$14,Saidas[Status],X!$E$13)</f>
        <v>0</v>
      </c>
    </row>
    <row r="187">
      <c r="M187" s="277"/>
      <c r="N187" s="105">
        <f>SUMIFS(Entradas[Valores],Entradas[Cliente],M187,Entradas[Data da Competência],"&gt;="&amp;RESUMO!$C$4,Entradas[Data da Competência],"&lt;"&amp;RESUMO!$D$5,Entradas[Centro de Custos],X!$E$14,Entradas[Status],X!$E$13)</f>
        <v>0</v>
      </c>
      <c r="P187" s="277"/>
      <c r="Q187" s="105">
        <f>SUMIFS(Saidas[Valores],Saidas[Fornecedor],P187,Saidas[Data da Competência],"&gt;="&amp;RESUMO!$C$4,Saidas[Data da Competência],"&lt;"&amp;RESUMO!$D$5,Saidas[Centro de Custos],X!$E$14,Saidas[Status],X!$E$13)</f>
        <v>0</v>
      </c>
    </row>
    <row r="188">
      <c r="M188" s="277"/>
      <c r="N188" s="105">
        <f>SUMIFS(Entradas[Valores],Entradas[Cliente],M188,Entradas[Data da Competência],"&gt;="&amp;RESUMO!$C$4,Entradas[Data da Competência],"&lt;"&amp;RESUMO!$D$5,Entradas[Centro de Custos],X!$E$14,Entradas[Status],X!$E$13)</f>
        <v>0</v>
      </c>
      <c r="P188" s="277"/>
      <c r="Q188" s="105">
        <f>SUMIFS(Saidas[Valores],Saidas[Fornecedor],P188,Saidas[Data da Competência],"&gt;="&amp;RESUMO!$C$4,Saidas[Data da Competência],"&lt;"&amp;RESUMO!$D$5,Saidas[Centro de Custos],X!$E$14,Saidas[Status],X!$E$13)</f>
        <v>0</v>
      </c>
    </row>
    <row r="189">
      <c r="M189" s="277"/>
      <c r="N189" s="105">
        <f>SUMIFS(Entradas[Valores],Entradas[Cliente],M189,Entradas[Data da Competência],"&gt;="&amp;RESUMO!$C$4,Entradas[Data da Competência],"&lt;"&amp;RESUMO!$D$5,Entradas[Centro de Custos],X!$E$14,Entradas[Status],X!$E$13)</f>
        <v>0</v>
      </c>
      <c r="P189" s="277"/>
      <c r="Q189" s="105">
        <f>SUMIFS(Saidas[Valores],Saidas[Fornecedor],P189,Saidas[Data da Competência],"&gt;="&amp;RESUMO!$C$4,Saidas[Data da Competência],"&lt;"&amp;RESUMO!$D$5,Saidas[Centro de Custos],X!$E$14,Saidas[Status],X!$E$13)</f>
        <v>0</v>
      </c>
    </row>
    <row r="190">
      <c r="M190" s="277"/>
      <c r="N190" s="105">
        <f>SUMIFS(Entradas[Valores],Entradas[Cliente],M190,Entradas[Data da Competência],"&gt;="&amp;RESUMO!$C$4,Entradas[Data da Competência],"&lt;"&amp;RESUMO!$D$5,Entradas[Centro de Custos],X!$E$14,Entradas[Status],X!$E$13)</f>
        <v>0</v>
      </c>
      <c r="P190" s="277"/>
      <c r="Q190" s="105">
        <f>SUMIFS(Saidas[Valores],Saidas[Fornecedor],P190,Saidas[Data da Competência],"&gt;="&amp;RESUMO!$C$4,Saidas[Data da Competência],"&lt;"&amp;RESUMO!$D$5,Saidas[Centro de Custos],X!$E$14,Saidas[Status],X!$E$13)</f>
        <v>0</v>
      </c>
    </row>
    <row r="191">
      <c r="M191" s="277"/>
      <c r="N191" s="105">
        <f>SUMIFS(Entradas[Valores],Entradas[Cliente],M191,Entradas[Data da Competência],"&gt;="&amp;RESUMO!$C$4,Entradas[Data da Competência],"&lt;"&amp;RESUMO!$D$5,Entradas[Centro de Custos],X!$E$14,Entradas[Status],X!$E$13)</f>
        <v>0</v>
      </c>
      <c r="P191" s="277"/>
      <c r="Q191" s="105">
        <f>SUMIFS(Saidas[Valores],Saidas[Fornecedor],P191,Saidas[Data da Competência],"&gt;="&amp;RESUMO!$C$4,Saidas[Data da Competência],"&lt;"&amp;RESUMO!$D$5,Saidas[Centro de Custos],X!$E$14,Saidas[Status],X!$E$13)</f>
        <v>0</v>
      </c>
    </row>
    <row r="192">
      <c r="M192" s="277"/>
      <c r="N192" s="105">
        <f>SUMIFS(Entradas[Valores],Entradas[Cliente],M192,Entradas[Data da Competência],"&gt;="&amp;RESUMO!$C$4,Entradas[Data da Competência],"&lt;"&amp;RESUMO!$D$5,Entradas[Centro de Custos],X!$E$14,Entradas[Status],X!$E$13)</f>
        <v>0</v>
      </c>
      <c r="P192" s="277"/>
      <c r="Q192" s="105">
        <f>SUMIFS(Saidas[Valores],Saidas[Fornecedor],P192,Saidas[Data da Competência],"&gt;="&amp;RESUMO!$C$4,Saidas[Data da Competência],"&lt;"&amp;RESUMO!$D$5,Saidas[Centro de Custos],X!$E$14,Saidas[Status],X!$E$13)</f>
        <v>0</v>
      </c>
    </row>
    <row r="193">
      <c r="M193" s="277"/>
      <c r="N193" s="105">
        <f>SUMIFS(Entradas[Valores],Entradas[Cliente],M193,Entradas[Data da Competência],"&gt;="&amp;RESUMO!$C$4,Entradas[Data da Competência],"&lt;"&amp;RESUMO!$D$5,Entradas[Centro de Custos],X!$E$14,Entradas[Status],X!$E$13)</f>
        <v>0</v>
      </c>
      <c r="P193" s="277"/>
      <c r="Q193" s="105">
        <f>SUMIFS(Saidas[Valores],Saidas[Fornecedor],P193,Saidas[Data da Competência],"&gt;="&amp;RESUMO!$C$4,Saidas[Data da Competência],"&lt;"&amp;RESUMO!$D$5,Saidas[Centro de Custos],X!$E$14,Saidas[Status],X!$E$13)</f>
        <v>0</v>
      </c>
    </row>
    <row r="194">
      <c r="M194" s="277"/>
      <c r="N194" s="105">
        <f>SUMIFS(Entradas[Valores],Entradas[Cliente],M194,Entradas[Data da Competência],"&gt;="&amp;RESUMO!$C$4,Entradas[Data da Competência],"&lt;"&amp;RESUMO!$D$5,Entradas[Centro de Custos],X!$E$14,Entradas[Status],X!$E$13)</f>
        <v>0</v>
      </c>
      <c r="P194" s="277"/>
      <c r="Q194" s="105">
        <f>SUMIFS(Saidas[Valores],Saidas[Fornecedor],P194,Saidas[Data da Competência],"&gt;="&amp;RESUMO!$C$4,Saidas[Data da Competência],"&lt;"&amp;RESUMO!$D$5,Saidas[Centro de Custos],X!$E$14,Saidas[Status],X!$E$13)</f>
        <v>0</v>
      </c>
    </row>
    <row r="195">
      <c r="M195" s="277"/>
      <c r="N195" s="105">
        <f>SUMIFS(Entradas[Valores],Entradas[Cliente],M195,Entradas[Data da Competência],"&gt;="&amp;RESUMO!$C$4,Entradas[Data da Competência],"&lt;"&amp;RESUMO!$D$5,Entradas[Centro de Custos],X!$E$14,Entradas[Status],X!$E$13)</f>
        <v>0</v>
      </c>
      <c r="P195" s="277"/>
      <c r="Q195" s="105">
        <f>SUMIFS(Saidas[Valores],Saidas[Fornecedor],P195,Saidas[Data da Competência],"&gt;="&amp;RESUMO!$C$4,Saidas[Data da Competência],"&lt;"&amp;RESUMO!$D$5,Saidas[Centro de Custos],X!$E$14,Saidas[Status],X!$E$13)</f>
        <v>0</v>
      </c>
    </row>
    <row r="196">
      <c r="M196" s="277"/>
      <c r="N196" s="105">
        <f>SUMIFS(Entradas[Valores],Entradas[Cliente],M196,Entradas[Data da Competência],"&gt;="&amp;RESUMO!$C$4,Entradas[Data da Competência],"&lt;"&amp;RESUMO!$D$5,Entradas[Centro de Custos],X!$E$14,Entradas[Status],X!$E$13)</f>
        <v>0</v>
      </c>
      <c r="P196" s="277"/>
      <c r="Q196" s="105">
        <f>SUMIFS(Saidas[Valores],Saidas[Fornecedor],P196,Saidas[Data da Competência],"&gt;="&amp;RESUMO!$C$4,Saidas[Data da Competência],"&lt;"&amp;RESUMO!$D$5,Saidas[Centro de Custos],X!$E$14,Saidas[Status],X!$E$13)</f>
        <v>0</v>
      </c>
    </row>
    <row r="197">
      <c r="M197" s="277"/>
      <c r="N197" s="105">
        <f>SUMIFS(Entradas[Valores],Entradas[Cliente],M197,Entradas[Data da Competência],"&gt;="&amp;RESUMO!$C$4,Entradas[Data da Competência],"&lt;"&amp;RESUMO!$D$5,Entradas[Centro de Custos],X!$E$14,Entradas[Status],X!$E$13)</f>
        <v>0</v>
      </c>
      <c r="P197" s="277"/>
      <c r="Q197" s="105">
        <f>SUMIFS(Saidas[Valores],Saidas[Fornecedor],P197,Saidas[Data da Competência],"&gt;="&amp;RESUMO!$C$4,Saidas[Data da Competência],"&lt;"&amp;RESUMO!$D$5,Saidas[Centro de Custos],X!$E$14,Saidas[Status],X!$E$13)</f>
        <v>0</v>
      </c>
    </row>
    <row r="198">
      <c r="M198" s="277"/>
      <c r="N198" s="105">
        <f>SUMIFS(Entradas[Valores],Entradas[Cliente],M198,Entradas[Data da Competência],"&gt;="&amp;RESUMO!$C$4,Entradas[Data da Competência],"&lt;"&amp;RESUMO!$D$5,Entradas[Centro de Custos],X!$E$14,Entradas[Status],X!$E$13)</f>
        <v>0</v>
      </c>
      <c r="P198" s="277"/>
      <c r="Q198" s="105">
        <f>SUMIFS(Saidas[Valores],Saidas[Fornecedor],P198,Saidas[Data da Competência],"&gt;="&amp;RESUMO!$C$4,Saidas[Data da Competência],"&lt;"&amp;RESUMO!$D$5,Saidas[Centro de Custos],X!$E$14,Saidas[Status],X!$E$13)</f>
        <v>0</v>
      </c>
    </row>
    <row r="199">
      <c r="M199" s="277"/>
      <c r="N199" s="105">
        <f>SUMIFS(Entradas[Valores],Entradas[Cliente],M199,Entradas[Data da Competência],"&gt;="&amp;RESUMO!$C$4,Entradas[Data da Competência],"&lt;"&amp;RESUMO!$D$5,Entradas[Centro de Custos],X!$E$14,Entradas[Status],X!$E$13)</f>
        <v>0</v>
      </c>
      <c r="P199" s="277"/>
      <c r="Q199" s="105">
        <f>SUMIFS(Saidas[Valores],Saidas[Fornecedor],P199,Saidas[Data da Competência],"&gt;="&amp;RESUMO!$C$4,Saidas[Data da Competência],"&lt;"&amp;RESUMO!$D$5,Saidas[Centro de Custos],X!$E$14,Saidas[Status],X!$E$13)</f>
        <v>0</v>
      </c>
    </row>
    <row r="200">
      <c r="M200" s="277"/>
      <c r="N200" s="105">
        <f>SUMIFS(Entradas[Valores],Entradas[Cliente],M200,Entradas[Data da Competência],"&gt;="&amp;RESUMO!$C$4,Entradas[Data da Competência],"&lt;"&amp;RESUMO!$D$5,Entradas[Centro de Custos],X!$E$14,Entradas[Status],X!$E$13)</f>
        <v>0</v>
      </c>
      <c r="P200" s="277"/>
      <c r="Q200" s="105">
        <f>SUMIFS(Saidas[Valores],Saidas[Fornecedor],P200,Saidas[Data da Competência],"&gt;="&amp;RESUMO!$C$4,Saidas[Data da Competência],"&lt;"&amp;RESUMO!$D$5,Saidas[Centro de Custos],X!$E$14,Saidas[Status],X!$E$13)</f>
        <v>0</v>
      </c>
    </row>
    <row r="201">
      <c r="M201" s="277"/>
      <c r="N201" s="105">
        <f>SUMIFS(Entradas[Valores],Entradas[Cliente],M201,Entradas[Data da Competência],"&gt;="&amp;RESUMO!$C$4,Entradas[Data da Competência],"&lt;"&amp;RESUMO!$D$5,Entradas[Centro de Custos],X!$E$14,Entradas[Status],X!$E$13)</f>
        <v>0</v>
      </c>
      <c r="P201" s="277"/>
      <c r="Q201" s="105">
        <f>SUMIFS(Saidas[Valores],Saidas[Fornecedor],P201,Saidas[Data da Competência],"&gt;="&amp;RESUMO!$C$4,Saidas[Data da Competência],"&lt;"&amp;RESUMO!$D$5,Saidas[Centro de Custos],X!$E$14,Saidas[Status],X!$E$13)</f>
        <v>0</v>
      </c>
    </row>
    <row r="202">
      <c r="M202" s="277"/>
      <c r="N202" s="105">
        <f>SUMIFS(Entradas[Valores],Entradas[Cliente],M202,Entradas[Data da Competência],"&gt;="&amp;RESUMO!$C$4,Entradas[Data da Competência],"&lt;"&amp;RESUMO!$D$5,Entradas[Centro de Custos],X!$E$14,Entradas[Status],X!$E$13)</f>
        <v>0</v>
      </c>
      <c r="P202" s="277"/>
      <c r="Q202" s="105">
        <f>SUMIFS(Saidas[Valores],Saidas[Fornecedor],P202,Saidas[Data da Competência],"&gt;="&amp;RESUMO!$C$4,Saidas[Data da Competência],"&lt;"&amp;RESUMO!$D$5,Saidas[Centro de Custos],X!$E$14,Saidas[Status],X!$E$13)</f>
        <v>0</v>
      </c>
    </row>
    <row r="203">
      <c r="M203" s="277"/>
      <c r="N203" s="105">
        <f>SUMIFS(Entradas[Valores],Entradas[Cliente],M203,Entradas[Data da Competência],"&gt;="&amp;RESUMO!$C$4,Entradas[Data da Competência],"&lt;"&amp;RESUMO!$D$5,Entradas[Centro de Custos],X!$E$14,Entradas[Status],X!$E$13)</f>
        <v>0</v>
      </c>
      <c r="P203" s="277"/>
      <c r="Q203" s="105">
        <f>SUMIFS(Saidas[Valores],Saidas[Fornecedor],P203,Saidas[Data da Competência],"&gt;="&amp;RESUMO!$C$4,Saidas[Data da Competência],"&lt;"&amp;RESUMO!$D$5,Saidas[Centro de Custos],X!$E$14,Saidas[Status],X!$E$13)</f>
        <v>0</v>
      </c>
    </row>
    <row r="204">
      <c r="M204" s="277"/>
      <c r="N204" s="105">
        <f>SUMIFS(Entradas[Valores],Entradas[Cliente],M204,Entradas[Data da Competência],"&gt;="&amp;RESUMO!$C$4,Entradas[Data da Competência],"&lt;"&amp;RESUMO!$D$5,Entradas[Centro de Custos],X!$E$14,Entradas[Status],X!$E$13)</f>
        <v>0</v>
      </c>
      <c r="P204" s="277"/>
      <c r="Q204" s="105">
        <f>SUMIFS(Saidas[Valores],Saidas[Fornecedor],P204,Saidas[Data da Competência],"&gt;="&amp;RESUMO!$C$4,Saidas[Data da Competência],"&lt;"&amp;RESUMO!$D$5,Saidas[Centro de Custos],X!$E$14,Saidas[Status],X!$E$13)</f>
        <v>0</v>
      </c>
    </row>
    <row r="205">
      <c r="M205" s="277"/>
      <c r="N205" s="105">
        <f>SUMIFS(Entradas[Valores],Entradas[Cliente],M205,Entradas[Data da Competência],"&gt;="&amp;RESUMO!$C$4,Entradas[Data da Competência],"&lt;"&amp;RESUMO!$D$5,Entradas[Centro de Custos],X!$E$14,Entradas[Status],X!$E$13)</f>
        <v>0</v>
      </c>
      <c r="P205" s="277"/>
      <c r="Q205" s="105">
        <f>SUMIFS(Saidas[Valores],Saidas[Fornecedor],P205,Saidas[Data da Competência],"&gt;="&amp;RESUMO!$C$4,Saidas[Data da Competência],"&lt;"&amp;RESUMO!$D$5,Saidas[Centro de Custos],X!$E$14,Saidas[Status],X!$E$13)</f>
        <v>0</v>
      </c>
    </row>
    <row r="206">
      <c r="M206" s="277"/>
      <c r="N206" s="105">
        <f>SUMIFS(Entradas[Valores],Entradas[Cliente],M206,Entradas[Data da Competência],"&gt;="&amp;RESUMO!$C$4,Entradas[Data da Competência],"&lt;"&amp;RESUMO!$D$5,Entradas[Centro de Custos],X!$E$14,Entradas[Status],X!$E$13)</f>
        <v>0</v>
      </c>
      <c r="P206" s="277"/>
      <c r="Q206" s="105">
        <f>SUMIFS(Saidas[Valores],Saidas[Fornecedor],P206,Saidas[Data da Competência],"&gt;="&amp;RESUMO!$C$4,Saidas[Data da Competência],"&lt;"&amp;RESUMO!$D$5,Saidas[Centro de Custos],X!$E$14,Saidas[Status],X!$E$13)</f>
        <v>0</v>
      </c>
    </row>
    <row r="207">
      <c r="M207" s="277"/>
      <c r="N207" s="105">
        <f>SUMIFS(Entradas[Valores],Entradas[Cliente],M207,Entradas[Data da Competência],"&gt;="&amp;RESUMO!$C$4,Entradas[Data da Competência],"&lt;"&amp;RESUMO!$D$5,Entradas[Centro de Custos],X!$E$14,Entradas[Status],X!$E$13)</f>
        <v>0</v>
      </c>
      <c r="P207" s="277"/>
      <c r="Q207" s="105">
        <f>SUMIFS(Saidas[Valores],Saidas[Fornecedor],P207,Saidas[Data da Competência],"&gt;="&amp;RESUMO!$C$4,Saidas[Data da Competência],"&lt;"&amp;RESUMO!$D$5,Saidas[Centro de Custos],X!$E$14,Saidas[Status],X!$E$13)</f>
        <v>0</v>
      </c>
    </row>
    <row r="208">
      <c r="M208" s="277"/>
      <c r="N208" s="105">
        <f>SUMIFS(Entradas[Valores],Entradas[Cliente],M208,Entradas[Data da Competência],"&gt;="&amp;RESUMO!$C$4,Entradas[Data da Competência],"&lt;"&amp;RESUMO!$D$5,Entradas[Centro de Custos],X!$E$14,Entradas[Status],X!$E$13)</f>
        <v>0</v>
      </c>
      <c r="P208" s="277"/>
      <c r="Q208" s="105">
        <f>SUMIFS(Saidas[Valores],Saidas[Fornecedor],P208,Saidas[Data da Competência],"&gt;="&amp;RESUMO!$C$4,Saidas[Data da Competência],"&lt;"&amp;RESUMO!$D$5,Saidas[Centro de Custos],X!$E$14,Saidas[Status],X!$E$13)</f>
        <v>0</v>
      </c>
    </row>
    <row r="209">
      <c r="M209" s="277"/>
      <c r="N209" s="105">
        <f>SUMIFS(Entradas[Valores],Entradas[Cliente],M209,Entradas[Data da Competência],"&gt;="&amp;RESUMO!$C$4,Entradas[Data da Competência],"&lt;"&amp;RESUMO!$D$5,Entradas[Centro de Custos],X!$E$14,Entradas[Status],X!$E$13)</f>
        <v>0</v>
      </c>
      <c r="P209" s="277"/>
      <c r="Q209" s="105">
        <f>SUMIFS(Saidas[Valores],Saidas[Fornecedor],P209,Saidas[Data da Competência],"&gt;="&amp;RESUMO!$C$4,Saidas[Data da Competência],"&lt;"&amp;RESUMO!$D$5,Saidas[Centro de Custos],X!$E$14,Saidas[Status],X!$E$13)</f>
        <v>0</v>
      </c>
    </row>
    <row r="210">
      <c r="M210" s="277"/>
      <c r="N210" s="105">
        <f>SUMIFS(Entradas[Valores],Entradas[Cliente],M210,Entradas[Data da Competência],"&gt;="&amp;RESUMO!$C$4,Entradas[Data da Competência],"&lt;"&amp;RESUMO!$D$5,Entradas[Centro de Custos],X!$E$14,Entradas[Status],X!$E$13)</f>
        <v>0</v>
      </c>
      <c r="P210" s="277"/>
      <c r="Q210" s="105">
        <f>SUMIFS(Saidas[Valores],Saidas[Fornecedor],P210,Saidas[Data da Competência],"&gt;="&amp;RESUMO!$C$4,Saidas[Data da Competência],"&lt;"&amp;RESUMO!$D$5,Saidas[Centro de Custos],X!$E$14,Saidas[Status],X!$E$13)</f>
        <v>0</v>
      </c>
    </row>
    <row r="211">
      <c r="M211" s="277"/>
      <c r="N211" s="105">
        <f>SUMIFS(Entradas[Valores],Entradas[Cliente],M211,Entradas[Data da Competência],"&gt;="&amp;RESUMO!$C$4,Entradas[Data da Competência],"&lt;"&amp;RESUMO!$D$5,Entradas[Centro de Custos],X!$E$14,Entradas[Status],X!$E$13)</f>
        <v>0</v>
      </c>
      <c r="P211" s="277"/>
      <c r="Q211" s="105">
        <f>SUMIFS(Saidas[Valores],Saidas[Fornecedor],P211,Saidas[Data da Competência],"&gt;="&amp;RESUMO!$C$4,Saidas[Data da Competência],"&lt;"&amp;RESUMO!$D$5,Saidas[Centro de Custos],X!$E$14,Saidas[Status],X!$E$13)</f>
        <v>0</v>
      </c>
    </row>
    <row r="212">
      <c r="M212" s="277"/>
      <c r="N212" s="105">
        <f>SUMIFS(Entradas[Valores],Entradas[Cliente],M212,Entradas[Data da Competência],"&gt;="&amp;RESUMO!$C$4,Entradas[Data da Competência],"&lt;"&amp;RESUMO!$D$5,Entradas[Centro de Custos],X!$E$14,Entradas[Status],X!$E$13)</f>
        <v>0</v>
      </c>
      <c r="P212" s="277"/>
      <c r="Q212" s="105">
        <f>SUMIFS(Saidas[Valores],Saidas[Fornecedor],P212,Saidas[Data da Competência],"&gt;="&amp;RESUMO!$C$4,Saidas[Data da Competência],"&lt;"&amp;RESUMO!$D$5,Saidas[Centro de Custos],X!$E$14,Saidas[Status],X!$E$13)</f>
        <v>0</v>
      </c>
    </row>
    <row r="213">
      <c r="M213" s="277"/>
      <c r="N213" s="105">
        <f>SUMIFS(Entradas[Valores],Entradas[Cliente],M213,Entradas[Data da Competência],"&gt;="&amp;RESUMO!$C$4,Entradas[Data da Competência],"&lt;"&amp;RESUMO!$D$5,Entradas[Centro de Custos],X!$E$14,Entradas[Status],X!$E$13)</f>
        <v>0</v>
      </c>
      <c r="P213" s="277"/>
      <c r="Q213" s="105">
        <f>SUMIFS(Saidas[Valores],Saidas[Fornecedor],P213,Saidas[Data da Competência],"&gt;="&amp;RESUMO!$C$4,Saidas[Data da Competência],"&lt;"&amp;RESUMO!$D$5,Saidas[Centro de Custos],X!$E$14,Saidas[Status],X!$E$13)</f>
        <v>0</v>
      </c>
    </row>
    <row r="214">
      <c r="M214" s="277"/>
      <c r="N214" s="105">
        <f>SUMIFS(Entradas[Valores],Entradas[Cliente],M214,Entradas[Data da Competência],"&gt;="&amp;RESUMO!$C$4,Entradas[Data da Competência],"&lt;"&amp;RESUMO!$D$5,Entradas[Centro de Custos],X!$E$14,Entradas[Status],X!$E$13)</f>
        <v>0</v>
      </c>
      <c r="P214" s="277"/>
      <c r="Q214" s="105">
        <f>SUMIFS(Saidas[Valores],Saidas[Fornecedor],P214,Saidas[Data da Competência],"&gt;="&amp;RESUMO!$C$4,Saidas[Data da Competência],"&lt;"&amp;RESUMO!$D$5,Saidas[Centro de Custos],X!$E$14,Saidas[Status],X!$E$13)</f>
        <v>0</v>
      </c>
    </row>
    <row r="215">
      <c r="M215" s="277"/>
      <c r="N215" s="105">
        <f>SUMIFS(Entradas[Valores],Entradas[Cliente],M215,Entradas[Data da Competência],"&gt;="&amp;RESUMO!$C$4,Entradas[Data da Competência],"&lt;"&amp;RESUMO!$D$5,Entradas[Centro de Custos],X!$E$14,Entradas[Status],X!$E$13)</f>
        <v>0</v>
      </c>
      <c r="P215" s="277"/>
      <c r="Q215" s="105">
        <f>SUMIFS(Saidas[Valores],Saidas[Fornecedor],P215,Saidas[Data da Competência],"&gt;="&amp;RESUMO!$C$4,Saidas[Data da Competência],"&lt;"&amp;RESUMO!$D$5,Saidas[Centro de Custos],X!$E$14,Saidas[Status],X!$E$13)</f>
        <v>0</v>
      </c>
    </row>
    <row r="216">
      <c r="M216" s="277"/>
      <c r="N216" s="105">
        <f>SUMIFS(Entradas[Valores],Entradas[Cliente],M216,Entradas[Data da Competência],"&gt;="&amp;RESUMO!$C$4,Entradas[Data da Competência],"&lt;"&amp;RESUMO!$D$5,Entradas[Centro de Custos],X!$E$14,Entradas[Status],X!$E$13)</f>
        <v>0</v>
      </c>
      <c r="P216" s="277"/>
      <c r="Q216" s="105">
        <f>SUMIFS(Saidas[Valores],Saidas[Fornecedor],P216,Saidas[Data da Competência],"&gt;="&amp;RESUMO!$C$4,Saidas[Data da Competência],"&lt;"&amp;RESUMO!$D$5,Saidas[Centro de Custos],X!$E$14,Saidas[Status],X!$E$13)</f>
        <v>0</v>
      </c>
    </row>
    <row r="217">
      <c r="M217" s="277"/>
      <c r="N217" s="105">
        <f>SUMIFS(Entradas[Valores],Entradas[Cliente],M217,Entradas[Data da Competência],"&gt;="&amp;RESUMO!$C$4,Entradas[Data da Competência],"&lt;"&amp;RESUMO!$D$5,Entradas[Centro de Custos],X!$E$14,Entradas[Status],X!$E$13)</f>
        <v>0</v>
      </c>
      <c r="P217" s="277"/>
      <c r="Q217" s="105">
        <f>SUMIFS(Saidas[Valores],Saidas[Fornecedor],P217,Saidas[Data da Competência],"&gt;="&amp;RESUMO!$C$4,Saidas[Data da Competência],"&lt;"&amp;RESUMO!$D$5,Saidas[Centro de Custos],X!$E$14,Saidas[Status],X!$E$13)</f>
        <v>0</v>
      </c>
    </row>
    <row r="218">
      <c r="M218" s="277"/>
      <c r="N218" s="105">
        <f>SUMIFS(Entradas[Valores],Entradas[Cliente],M218,Entradas[Data da Competência],"&gt;="&amp;RESUMO!$C$4,Entradas[Data da Competência],"&lt;"&amp;RESUMO!$D$5,Entradas[Centro de Custos],X!$E$14,Entradas[Status],X!$E$13)</f>
        <v>0</v>
      </c>
      <c r="P218" s="277"/>
      <c r="Q218" s="105">
        <f>SUMIFS(Saidas[Valores],Saidas[Fornecedor],P218,Saidas[Data da Competência],"&gt;="&amp;RESUMO!$C$4,Saidas[Data da Competência],"&lt;"&amp;RESUMO!$D$5,Saidas[Centro de Custos],X!$E$14,Saidas[Status],X!$E$13)</f>
        <v>0</v>
      </c>
    </row>
    <row r="219">
      <c r="M219" s="277"/>
      <c r="N219" s="105">
        <f>SUMIFS(Entradas[Valores],Entradas[Cliente],M219,Entradas[Data da Competência],"&gt;="&amp;RESUMO!$C$4,Entradas[Data da Competência],"&lt;"&amp;RESUMO!$D$5,Entradas[Centro de Custos],X!$E$14,Entradas[Status],X!$E$13)</f>
        <v>0</v>
      </c>
      <c r="P219" s="277"/>
      <c r="Q219" s="105">
        <f>SUMIFS(Saidas[Valores],Saidas[Fornecedor],P219,Saidas[Data da Competência],"&gt;="&amp;RESUMO!$C$4,Saidas[Data da Competência],"&lt;"&amp;RESUMO!$D$5,Saidas[Centro de Custos],X!$E$14,Saidas[Status],X!$E$13)</f>
        <v>0</v>
      </c>
    </row>
    <row r="220">
      <c r="M220" s="277"/>
      <c r="N220" s="105">
        <f>SUMIFS(Entradas[Valores],Entradas[Cliente],M220,Entradas[Data da Competência],"&gt;="&amp;RESUMO!$C$4,Entradas[Data da Competência],"&lt;"&amp;RESUMO!$D$5,Entradas[Centro de Custos],X!$E$14,Entradas[Status],X!$E$13)</f>
        <v>0</v>
      </c>
      <c r="P220" s="277"/>
      <c r="Q220" s="105">
        <f>SUMIFS(Saidas[Valores],Saidas[Fornecedor],P220,Saidas[Data da Competência],"&gt;="&amp;RESUMO!$C$4,Saidas[Data da Competência],"&lt;"&amp;RESUMO!$D$5,Saidas[Centro de Custos],X!$E$14,Saidas[Status],X!$E$13)</f>
        <v>0</v>
      </c>
    </row>
    <row r="221">
      <c r="M221" s="277"/>
      <c r="N221" s="105">
        <f>SUMIFS(Entradas[Valores],Entradas[Cliente],M221,Entradas[Data da Competência],"&gt;="&amp;RESUMO!$C$4,Entradas[Data da Competência],"&lt;"&amp;RESUMO!$D$5,Entradas[Centro de Custos],X!$E$14,Entradas[Status],X!$E$13)</f>
        <v>0</v>
      </c>
      <c r="P221" s="277"/>
      <c r="Q221" s="105">
        <f>SUMIFS(Saidas[Valores],Saidas[Fornecedor],P221,Saidas[Data da Competência],"&gt;="&amp;RESUMO!$C$4,Saidas[Data da Competência],"&lt;"&amp;RESUMO!$D$5,Saidas[Centro de Custos],X!$E$14,Saidas[Status],X!$E$13)</f>
        <v>0</v>
      </c>
    </row>
    <row r="222">
      <c r="M222" s="277"/>
      <c r="N222" s="105">
        <f>SUMIFS(Entradas[Valores],Entradas[Cliente],M222,Entradas[Data da Competência],"&gt;="&amp;RESUMO!$C$4,Entradas[Data da Competência],"&lt;"&amp;RESUMO!$D$5,Entradas[Centro de Custos],X!$E$14,Entradas[Status],X!$E$13)</f>
        <v>0</v>
      </c>
      <c r="P222" s="277"/>
      <c r="Q222" s="105">
        <f>SUMIFS(Saidas[Valores],Saidas[Fornecedor],P222,Saidas[Data da Competência],"&gt;="&amp;RESUMO!$C$4,Saidas[Data da Competência],"&lt;"&amp;RESUMO!$D$5,Saidas[Centro de Custos],X!$E$14,Saidas[Status],X!$E$13)</f>
        <v>0</v>
      </c>
    </row>
    <row r="223">
      <c r="M223" s="277"/>
      <c r="N223" s="105">
        <f>SUMIFS(Entradas[Valores],Entradas[Cliente],M223,Entradas[Data da Competência],"&gt;="&amp;RESUMO!$C$4,Entradas[Data da Competência],"&lt;"&amp;RESUMO!$D$5,Entradas[Centro de Custos],X!$E$14,Entradas[Status],X!$E$13)</f>
        <v>0</v>
      </c>
      <c r="P223" s="277"/>
      <c r="Q223" s="105">
        <f>SUMIFS(Saidas[Valores],Saidas[Fornecedor],P223,Saidas[Data da Competência],"&gt;="&amp;RESUMO!$C$4,Saidas[Data da Competência],"&lt;"&amp;RESUMO!$D$5,Saidas[Centro de Custos],X!$E$14,Saidas[Status],X!$E$13)</f>
        <v>0</v>
      </c>
    </row>
    <row r="224">
      <c r="M224" s="277"/>
      <c r="N224" s="105">
        <f>SUMIFS(Entradas[Valores],Entradas[Cliente],M224,Entradas[Data da Competência],"&gt;="&amp;RESUMO!$C$4,Entradas[Data da Competência],"&lt;"&amp;RESUMO!$D$5,Entradas[Centro de Custos],X!$E$14,Entradas[Status],X!$E$13)</f>
        <v>0</v>
      </c>
      <c r="P224" s="277"/>
      <c r="Q224" s="105">
        <f>SUMIFS(Saidas[Valores],Saidas[Fornecedor],P224,Saidas[Data da Competência],"&gt;="&amp;RESUMO!$C$4,Saidas[Data da Competência],"&lt;"&amp;RESUMO!$D$5,Saidas[Centro de Custos],X!$E$14,Saidas[Status],X!$E$13)</f>
        <v>0</v>
      </c>
    </row>
    <row r="225">
      <c r="M225" s="277"/>
      <c r="N225" s="105">
        <f>SUMIFS(Entradas[Valores],Entradas[Cliente],M225,Entradas[Data da Competência],"&gt;="&amp;RESUMO!$C$4,Entradas[Data da Competência],"&lt;"&amp;RESUMO!$D$5,Entradas[Centro de Custos],X!$E$14,Entradas[Status],X!$E$13)</f>
        <v>0</v>
      </c>
      <c r="P225" s="277"/>
      <c r="Q225" s="105">
        <f>SUMIFS(Saidas[Valores],Saidas[Fornecedor],P225,Saidas[Data da Competência],"&gt;="&amp;RESUMO!$C$4,Saidas[Data da Competência],"&lt;"&amp;RESUMO!$D$5,Saidas[Centro de Custos],X!$E$14,Saidas[Status],X!$E$13)</f>
        <v>0</v>
      </c>
    </row>
    <row r="226">
      <c r="M226" s="277"/>
      <c r="N226" s="105">
        <f>SUMIFS(Entradas[Valores],Entradas[Cliente],M226,Entradas[Data da Competência],"&gt;="&amp;RESUMO!$C$4,Entradas[Data da Competência],"&lt;"&amp;RESUMO!$D$5,Entradas[Centro de Custos],X!$E$14,Entradas[Status],X!$E$13)</f>
        <v>0</v>
      </c>
      <c r="P226" s="277"/>
      <c r="Q226" s="105">
        <f>SUMIFS(Saidas[Valores],Saidas[Fornecedor],P226,Saidas[Data da Competência],"&gt;="&amp;RESUMO!$C$4,Saidas[Data da Competência],"&lt;"&amp;RESUMO!$D$5,Saidas[Centro de Custos],X!$E$14,Saidas[Status],X!$E$13)</f>
        <v>0</v>
      </c>
    </row>
    <row r="227">
      <c r="M227" s="277"/>
      <c r="N227" s="105">
        <f>SUMIFS(Entradas[Valores],Entradas[Cliente],M227,Entradas[Data da Competência],"&gt;="&amp;RESUMO!$C$4,Entradas[Data da Competência],"&lt;"&amp;RESUMO!$D$5,Entradas[Centro de Custos],X!$E$14,Entradas[Status],X!$E$13)</f>
        <v>0</v>
      </c>
      <c r="P227" s="277"/>
      <c r="Q227" s="105">
        <f>SUMIFS(Saidas[Valores],Saidas[Fornecedor],P227,Saidas[Data da Competência],"&gt;="&amp;RESUMO!$C$4,Saidas[Data da Competência],"&lt;"&amp;RESUMO!$D$5,Saidas[Centro de Custos],X!$E$14,Saidas[Status],X!$E$13)</f>
        <v>0</v>
      </c>
    </row>
    <row r="228">
      <c r="M228" s="277"/>
      <c r="N228" s="105">
        <f>SUMIFS(Entradas[Valores],Entradas[Cliente],M228,Entradas[Data da Competência],"&gt;="&amp;RESUMO!$C$4,Entradas[Data da Competência],"&lt;"&amp;RESUMO!$D$5,Entradas[Centro de Custos],X!$E$14,Entradas[Status],X!$E$13)</f>
        <v>0</v>
      </c>
      <c r="P228" s="277"/>
      <c r="Q228" s="105">
        <f>SUMIFS(Saidas[Valores],Saidas[Fornecedor],P228,Saidas[Data da Competência],"&gt;="&amp;RESUMO!$C$4,Saidas[Data da Competência],"&lt;"&amp;RESUMO!$D$5,Saidas[Centro de Custos],X!$E$14,Saidas[Status],X!$E$13)</f>
        <v>0</v>
      </c>
    </row>
    <row r="229">
      <c r="M229" s="277"/>
      <c r="N229" s="105">
        <f>SUMIFS(Entradas[Valores],Entradas[Cliente],M229,Entradas[Data da Competência],"&gt;="&amp;RESUMO!$C$4,Entradas[Data da Competência],"&lt;"&amp;RESUMO!$D$5,Entradas[Centro de Custos],X!$E$14,Entradas[Status],X!$E$13)</f>
        <v>0</v>
      </c>
      <c r="P229" s="277"/>
      <c r="Q229" s="105">
        <f>SUMIFS(Saidas[Valores],Saidas[Fornecedor],P229,Saidas[Data da Competência],"&gt;="&amp;RESUMO!$C$4,Saidas[Data da Competência],"&lt;"&amp;RESUMO!$D$5,Saidas[Centro de Custos],X!$E$14,Saidas[Status],X!$E$13)</f>
        <v>0</v>
      </c>
    </row>
    <row r="230">
      <c r="M230" s="277"/>
      <c r="N230" s="105">
        <f>SUMIFS(Entradas[Valores],Entradas[Cliente],M230,Entradas[Data da Competência],"&gt;="&amp;RESUMO!$C$4,Entradas[Data da Competência],"&lt;"&amp;RESUMO!$D$5,Entradas[Centro de Custos],X!$E$14,Entradas[Status],X!$E$13)</f>
        <v>0</v>
      </c>
      <c r="P230" s="277"/>
      <c r="Q230" s="105">
        <f>SUMIFS(Saidas[Valores],Saidas[Fornecedor],P230,Saidas[Data da Competência],"&gt;="&amp;RESUMO!$C$4,Saidas[Data da Competência],"&lt;"&amp;RESUMO!$D$5,Saidas[Centro de Custos],X!$E$14,Saidas[Status],X!$E$13)</f>
        <v>0</v>
      </c>
    </row>
    <row r="231">
      <c r="M231" s="277"/>
      <c r="N231" s="105">
        <f>SUMIFS(Entradas[Valores],Entradas[Cliente],M231,Entradas[Data da Competência],"&gt;="&amp;RESUMO!$C$4,Entradas[Data da Competência],"&lt;"&amp;RESUMO!$D$5,Entradas[Centro de Custos],X!$E$14,Entradas[Status],X!$E$13)</f>
        <v>0</v>
      </c>
      <c r="P231" s="277"/>
      <c r="Q231" s="105">
        <f>SUMIFS(Saidas[Valores],Saidas[Fornecedor],P231,Saidas[Data da Competência],"&gt;="&amp;RESUMO!$C$4,Saidas[Data da Competência],"&lt;"&amp;RESUMO!$D$5,Saidas[Centro de Custos],X!$E$14,Saidas[Status],X!$E$13)</f>
        <v>0</v>
      </c>
    </row>
    <row r="232">
      <c r="M232" s="277"/>
      <c r="N232" s="105">
        <f>SUMIFS(Entradas[Valores],Entradas[Cliente],M232,Entradas[Data da Competência],"&gt;="&amp;RESUMO!$C$4,Entradas[Data da Competência],"&lt;"&amp;RESUMO!$D$5,Entradas[Centro de Custos],X!$E$14,Entradas[Status],X!$E$13)</f>
        <v>0</v>
      </c>
      <c r="P232" s="277"/>
      <c r="Q232" s="105">
        <f>SUMIFS(Saidas[Valores],Saidas[Fornecedor],P232,Saidas[Data da Competência],"&gt;="&amp;RESUMO!$C$4,Saidas[Data da Competência],"&lt;"&amp;RESUMO!$D$5,Saidas[Centro de Custos],X!$E$14,Saidas[Status],X!$E$13)</f>
        <v>0</v>
      </c>
    </row>
    <row r="233">
      <c r="M233" s="277"/>
      <c r="N233" s="105">
        <f>SUMIFS(Entradas[Valores],Entradas[Cliente],M233,Entradas[Data da Competência],"&gt;="&amp;RESUMO!$C$4,Entradas[Data da Competência],"&lt;"&amp;RESUMO!$D$5,Entradas[Centro de Custos],X!$E$14,Entradas[Status],X!$E$13)</f>
        <v>0</v>
      </c>
      <c r="P233" s="277"/>
      <c r="Q233" s="105">
        <f>SUMIFS(Saidas[Valores],Saidas[Fornecedor],P233,Saidas[Data da Competência],"&gt;="&amp;RESUMO!$C$4,Saidas[Data da Competência],"&lt;"&amp;RESUMO!$D$5,Saidas[Centro de Custos],X!$E$14,Saidas[Status],X!$E$13)</f>
        <v>0</v>
      </c>
    </row>
    <row r="234">
      <c r="M234" s="277"/>
      <c r="N234" s="105">
        <f>SUMIFS(Entradas[Valores],Entradas[Cliente],M234,Entradas[Data da Competência],"&gt;="&amp;RESUMO!$C$4,Entradas[Data da Competência],"&lt;"&amp;RESUMO!$D$5,Entradas[Centro de Custos],X!$E$14,Entradas[Status],X!$E$13)</f>
        <v>0</v>
      </c>
      <c r="P234" s="277"/>
      <c r="Q234" s="105">
        <f>SUMIFS(Saidas[Valores],Saidas[Fornecedor],P234,Saidas[Data da Competência],"&gt;="&amp;RESUMO!$C$4,Saidas[Data da Competência],"&lt;"&amp;RESUMO!$D$5,Saidas[Centro de Custos],X!$E$14,Saidas[Status],X!$E$13)</f>
        <v>0</v>
      </c>
    </row>
    <row r="235">
      <c r="M235" s="277"/>
      <c r="N235" s="105">
        <f>SUMIFS(Entradas[Valores],Entradas[Cliente],M235,Entradas[Data da Competência],"&gt;="&amp;RESUMO!$C$4,Entradas[Data da Competência],"&lt;"&amp;RESUMO!$D$5,Entradas[Centro de Custos],X!$E$14,Entradas[Status],X!$E$13)</f>
        <v>0</v>
      </c>
      <c r="P235" s="277"/>
      <c r="Q235" s="105">
        <f>SUMIFS(Saidas[Valores],Saidas[Fornecedor],P235,Saidas[Data da Competência],"&gt;="&amp;RESUMO!$C$4,Saidas[Data da Competência],"&lt;"&amp;RESUMO!$D$5,Saidas[Centro de Custos],X!$E$14,Saidas[Status],X!$E$13)</f>
        <v>0</v>
      </c>
    </row>
    <row r="236">
      <c r="M236" s="277"/>
      <c r="N236" s="105">
        <f>SUMIFS(Entradas[Valores],Entradas[Cliente],M236,Entradas[Data da Competência],"&gt;="&amp;RESUMO!$C$4,Entradas[Data da Competência],"&lt;"&amp;RESUMO!$D$5,Entradas[Centro de Custos],X!$E$14,Entradas[Status],X!$E$13)</f>
        <v>0</v>
      </c>
      <c r="P236" s="277"/>
      <c r="Q236" s="105">
        <f>SUMIFS(Saidas[Valores],Saidas[Fornecedor],P236,Saidas[Data da Competência],"&gt;="&amp;RESUMO!$C$4,Saidas[Data da Competência],"&lt;"&amp;RESUMO!$D$5,Saidas[Centro de Custos],X!$E$14,Saidas[Status],X!$E$13)</f>
        <v>0</v>
      </c>
    </row>
    <row r="237">
      <c r="M237" s="277"/>
      <c r="N237" s="105">
        <f>SUMIFS(Entradas[Valores],Entradas[Cliente],M237,Entradas[Data da Competência],"&gt;="&amp;RESUMO!$C$4,Entradas[Data da Competência],"&lt;"&amp;RESUMO!$D$5,Entradas[Centro de Custos],X!$E$14,Entradas[Status],X!$E$13)</f>
        <v>0</v>
      </c>
      <c r="P237" s="277"/>
      <c r="Q237" s="105">
        <f>SUMIFS(Saidas[Valores],Saidas[Fornecedor],P237,Saidas[Data da Competência],"&gt;="&amp;RESUMO!$C$4,Saidas[Data da Competência],"&lt;"&amp;RESUMO!$D$5,Saidas[Centro de Custos],X!$E$14,Saidas[Status],X!$E$13)</f>
        <v>0</v>
      </c>
    </row>
    <row r="238">
      <c r="M238" s="277"/>
      <c r="N238" s="105">
        <f>SUMIFS(Entradas[Valores],Entradas[Cliente],M238,Entradas[Data da Competência],"&gt;="&amp;RESUMO!$C$4,Entradas[Data da Competência],"&lt;"&amp;RESUMO!$D$5,Entradas[Centro de Custos],X!$E$14,Entradas[Status],X!$E$13)</f>
        <v>0</v>
      </c>
      <c r="P238" s="277"/>
      <c r="Q238" s="105">
        <f>SUMIFS(Saidas[Valores],Saidas[Fornecedor],P238,Saidas[Data da Competência],"&gt;="&amp;RESUMO!$C$4,Saidas[Data da Competência],"&lt;"&amp;RESUMO!$D$5,Saidas[Centro de Custos],X!$E$14,Saidas[Status],X!$E$13)</f>
        <v>0</v>
      </c>
    </row>
    <row r="239">
      <c r="M239" s="277"/>
      <c r="N239" s="105">
        <f>SUMIFS(Entradas[Valores],Entradas[Cliente],M239,Entradas[Data da Competência],"&gt;="&amp;RESUMO!$C$4,Entradas[Data da Competência],"&lt;"&amp;RESUMO!$D$5,Entradas[Centro de Custos],X!$E$14,Entradas[Status],X!$E$13)</f>
        <v>0</v>
      </c>
      <c r="P239" s="277"/>
      <c r="Q239" s="105">
        <f>SUMIFS(Saidas[Valores],Saidas[Fornecedor],P239,Saidas[Data da Competência],"&gt;="&amp;RESUMO!$C$4,Saidas[Data da Competência],"&lt;"&amp;RESUMO!$D$5,Saidas[Centro de Custos],X!$E$14,Saidas[Status],X!$E$13)</f>
        <v>0</v>
      </c>
    </row>
    <row r="240">
      <c r="M240" s="277"/>
      <c r="N240" s="105">
        <f>SUMIFS(Entradas[Valores],Entradas[Cliente],M240,Entradas[Data da Competência],"&gt;="&amp;RESUMO!$C$4,Entradas[Data da Competência],"&lt;"&amp;RESUMO!$D$5,Entradas[Centro de Custos],X!$E$14,Entradas[Status],X!$E$13)</f>
        <v>0</v>
      </c>
      <c r="P240" s="277"/>
      <c r="Q240" s="105">
        <f>SUMIFS(Saidas[Valores],Saidas[Fornecedor],P240,Saidas[Data da Competência],"&gt;="&amp;RESUMO!$C$4,Saidas[Data da Competência],"&lt;"&amp;RESUMO!$D$5,Saidas[Centro de Custos],X!$E$14,Saidas[Status],X!$E$13)</f>
        <v>0</v>
      </c>
    </row>
    <row r="241">
      <c r="M241" s="277"/>
      <c r="N241" s="105">
        <f>SUMIFS(Entradas[Valores],Entradas[Cliente],M241,Entradas[Data da Competência],"&gt;="&amp;RESUMO!$C$4,Entradas[Data da Competência],"&lt;"&amp;RESUMO!$D$5,Entradas[Centro de Custos],X!$E$14,Entradas[Status],X!$E$13)</f>
        <v>0</v>
      </c>
      <c r="P241" s="277"/>
      <c r="Q241" s="105">
        <f>SUMIFS(Saidas[Valores],Saidas[Fornecedor],P241,Saidas[Data da Competência],"&gt;="&amp;RESUMO!$C$4,Saidas[Data da Competência],"&lt;"&amp;RESUMO!$D$5,Saidas[Centro de Custos],X!$E$14,Saidas[Status],X!$E$13)</f>
        <v>0</v>
      </c>
    </row>
    <row r="242">
      <c r="M242" s="277"/>
      <c r="N242" s="105">
        <f>SUMIFS(Entradas[Valores],Entradas[Cliente],M242,Entradas[Data da Competência],"&gt;="&amp;RESUMO!$C$4,Entradas[Data da Competência],"&lt;"&amp;RESUMO!$D$5,Entradas[Centro de Custos],X!$E$14,Entradas[Status],X!$E$13)</f>
        <v>0</v>
      </c>
      <c r="P242" s="277"/>
      <c r="Q242" s="105">
        <f>SUMIFS(Saidas[Valores],Saidas[Fornecedor],P242,Saidas[Data da Competência],"&gt;="&amp;RESUMO!$C$4,Saidas[Data da Competência],"&lt;"&amp;RESUMO!$D$5,Saidas[Centro de Custos],X!$E$14,Saidas[Status],X!$E$13)</f>
        <v>0</v>
      </c>
    </row>
    <row r="243">
      <c r="M243" s="277"/>
      <c r="N243" s="105">
        <f>SUMIFS(Entradas[Valores],Entradas[Cliente],M243,Entradas[Data da Competência],"&gt;="&amp;RESUMO!$C$4,Entradas[Data da Competência],"&lt;"&amp;RESUMO!$D$5,Entradas[Centro de Custos],X!$E$14,Entradas[Status],X!$E$13)</f>
        <v>0</v>
      </c>
      <c r="P243" s="277"/>
      <c r="Q243" s="105">
        <f>SUMIFS(Saidas[Valores],Saidas[Fornecedor],P243,Saidas[Data da Competência],"&gt;="&amp;RESUMO!$C$4,Saidas[Data da Competência],"&lt;"&amp;RESUMO!$D$5,Saidas[Centro de Custos],X!$E$14,Saidas[Status],X!$E$13)</f>
        <v>0</v>
      </c>
    </row>
    <row r="244">
      <c r="M244" s="277"/>
      <c r="N244" s="105">
        <f>SUMIFS(Entradas[Valores],Entradas[Cliente],M244,Entradas[Data da Competência],"&gt;="&amp;RESUMO!$C$4,Entradas[Data da Competência],"&lt;"&amp;RESUMO!$D$5,Entradas[Centro de Custos],X!$E$14,Entradas[Status],X!$E$13)</f>
        <v>0</v>
      </c>
      <c r="P244" s="277"/>
      <c r="Q244" s="105">
        <f>SUMIFS(Saidas[Valores],Saidas[Fornecedor],P244,Saidas[Data da Competência],"&gt;="&amp;RESUMO!$C$4,Saidas[Data da Competência],"&lt;"&amp;RESUMO!$D$5,Saidas[Centro de Custos],X!$E$14,Saidas[Status],X!$E$13)</f>
        <v>0</v>
      </c>
    </row>
    <row r="245">
      <c r="M245" s="277"/>
      <c r="N245" s="105">
        <f>SUMIFS(Entradas[Valores],Entradas[Cliente],M245,Entradas[Data da Competência],"&gt;="&amp;RESUMO!$C$4,Entradas[Data da Competência],"&lt;"&amp;RESUMO!$D$5,Entradas[Centro de Custos],X!$E$14,Entradas[Status],X!$E$13)</f>
        <v>0</v>
      </c>
      <c r="P245" s="277"/>
      <c r="Q245" s="105">
        <f>SUMIFS(Saidas[Valores],Saidas[Fornecedor],P245,Saidas[Data da Competência],"&gt;="&amp;RESUMO!$C$4,Saidas[Data da Competência],"&lt;"&amp;RESUMO!$D$5,Saidas[Centro de Custos],X!$E$14,Saidas[Status],X!$E$13)</f>
        <v>0</v>
      </c>
    </row>
    <row r="246">
      <c r="M246" s="277"/>
      <c r="N246" s="105">
        <f>SUMIFS(Entradas[Valores],Entradas[Cliente],M246,Entradas[Data da Competência],"&gt;="&amp;RESUMO!$C$4,Entradas[Data da Competência],"&lt;"&amp;RESUMO!$D$5,Entradas[Centro de Custos],X!$E$14,Entradas[Status],X!$E$13)</f>
        <v>0</v>
      </c>
      <c r="P246" s="277"/>
      <c r="Q246" s="105">
        <f>SUMIFS(Saidas[Valores],Saidas[Fornecedor],P246,Saidas[Data da Competência],"&gt;="&amp;RESUMO!$C$4,Saidas[Data da Competência],"&lt;"&amp;RESUMO!$D$5,Saidas[Centro de Custos],X!$E$14,Saidas[Status],X!$E$13)</f>
        <v>0</v>
      </c>
    </row>
    <row r="247">
      <c r="M247" s="277"/>
      <c r="N247" s="105">
        <f>SUMIFS(Entradas[Valores],Entradas[Cliente],M247,Entradas[Data da Competência],"&gt;="&amp;RESUMO!$C$4,Entradas[Data da Competência],"&lt;"&amp;RESUMO!$D$5,Entradas[Centro de Custos],X!$E$14,Entradas[Status],X!$E$13)</f>
        <v>0</v>
      </c>
      <c r="P247" s="277"/>
      <c r="Q247" s="105">
        <f>SUMIFS(Saidas[Valores],Saidas[Fornecedor],P247,Saidas[Data da Competência],"&gt;="&amp;RESUMO!$C$4,Saidas[Data da Competência],"&lt;"&amp;RESUMO!$D$5,Saidas[Centro de Custos],X!$E$14,Saidas[Status],X!$E$13)</f>
        <v>0</v>
      </c>
    </row>
    <row r="248">
      <c r="M248" s="277"/>
      <c r="N248" s="105">
        <f>SUMIFS(Entradas[Valores],Entradas[Cliente],M248,Entradas[Data da Competência],"&gt;="&amp;RESUMO!$C$4,Entradas[Data da Competência],"&lt;"&amp;RESUMO!$D$5,Entradas[Centro de Custos],X!$E$14,Entradas[Status],X!$E$13)</f>
        <v>0</v>
      </c>
      <c r="P248" s="277"/>
      <c r="Q248" s="105">
        <f>SUMIFS(Saidas[Valores],Saidas[Fornecedor],P248,Saidas[Data da Competência],"&gt;="&amp;RESUMO!$C$4,Saidas[Data da Competência],"&lt;"&amp;RESUMO!$D$5,Saidas[Centro de Custos],X!$E$14,Saidas[Status],X!$E$13)</f>
        <v>0</v>
      </c>
    </row>
    <row r="249">
      <c r="M249" s="277"/>
      <c r="N249" s="105">
        <f>SUMIFS(Entradas[Valores],Entradas[Cliente],M249,Entradas[Data da Competência],"&gt;="&amp;RESUMO!$C$4,Entradas[Data da Competência],"&lt;"&amp;RESUMO!$D$5,Entradas[Centro de Custos],X!$E$14,Entradas[Status],X!$E$13)</f>
        <v>0</v>
      </c>
      <c r="P249" s="277"/>
      <c r="Q249" s="105">
        <f>SUMIFS(Saidas[Valores],Saidas[Fornecedor],P249,Saidas[Data da Competência],"&gt;="&amp;RESUMO!$C$4,Saidas[Data da Competência],"&lt;"&amp;RESUMO!$D$5,Saidas[Centro de Custos],X!$E$14,Saidas[Status],X!$E$13)</f>
        <v>0</v>
      </c>
    </row>
    <row r="250">
      <c r="M250" s="277"/>
      <c r="N250" s="105">
        <f>SUMIFS(Entradas[Valores],Entradas[Cliente],M250,Entradas[Data da Competência],"&gt;="&amp;RESUMO!$C$4,Entradas[Data da Competência],"&lt;"&amp;RESUMO!$D$5,Entradas[Centro de Custos],X!$E$14,Entradas[Status],X!$E$13)</f>
        <v>0</v>
      </c>
      <c r="P250" s="277"/>
      <c r="Q250" s="105">
        <f>SUMIFS(Saidas[Valores],Saidas[Fornecedor],P250,Saidas[Data da Competência],"&gt;="&amp;RESUMO!$C$4,Saidas[Data da Competência],"&lt;"&amp;RESUMO!$D$5,Saidas[Centro de Custos],X!$E$14,Saidas[Status],X!$E$13)</f>
        <v>0</v>
      </c>
    </row>
    <row r="251">
      <c r="M251" s="277"/>
      <c r="N251" s="105">
        <f>SUMIFS(Entradas[Valores],Entradas[Cliente],M251,Entradas[Data da Competência],"&gt;="&amp;RESUMO!$C$4,Entradas[Data da Competência],"&lt;"&amp;RESUMO!$D$5,Entradas[Centro de Custos],X!$E$14,Entradas[Status],X!$E$13)</f>
        <v>0</v>
      </c>
      <c r="P251" s="277"/>
      <c r="Q251" s="105">
        <f>SUMIFS(Saidas[Valores],Saidas[Fornecedor],P251,Saidas[Data da Competência],"&gt;="&amp;RESUMO!$C$4,Saidas[Data da Competência],"&lt;"&amp;RESUMO!$D$5,Saidas[Centro de Custos],X!$E$14,Saidas[Status],X!$E$13)</f>
        <v>0</v>
      </c>
    </row>
    <row r="252">
      <c r="M252" s="277"/>
      <c r="N252" s="105">
        <f>SUMIFS(Entradas[Valores],Entradas[Cliente],M252,Entradas[Data da Competência],"&gt;="&amp;RESUMO!$C$4,Entradas[Data da Competência],"&lt;"&amp;RESUMO!$D$5,Entradas[Centro de Custos],X!$E$14,Entradas[Status],X!$E$13)</f>
        <v>0</v>
      </c>
      <c r="P252" s="277"/>
      <c r="Q252" s="105">
        <f>SUMIFS(Saidas[Valores],Saidas[Fornecedor],P252,Saidas[Data da Competência],"&gt;="&amp;RESUMO!$C$4,Saidas[Data da Competência],"&lt;"&amp;RESUMO!$D$5,Saidas[Centro de Custos],X!$E$14,Saidas[Status],X!$E$13)</f>
        <v>0</v>
      </c>
    </row>
    <row r="253">
      <c r="M253" s="277"/>
      <c r="N253" s="105">
        <f>SUMIFS(Entradas[Valores],Entradas[Cliente],M253,Entradas[Data da Competência],"&gt;="&amp;RESUMO!$C$4,Entradas[Data da Competência],"&lt;"&amp;RESUMO!$D$5,Entradas[Centro de Custos],X!$E$14,Entradas[Status],X!$E$13)</f>
        <v>0</v>
      </c>
      <c r="P253" s="277"/>
      <c r="Q253" s="105">
        <f>SUMIFS(Saidas[Valores],Saidas[Fornecedor],P253,Saidas[Data da Competência],"&gt;="&amp;RESUMO!$C$4,Saidas[Data da Competência],"&lt;"&amp;RESUMO!$D$5,Saidas[Centro de Custos],X!$E$14,Saidas[Status],X!$E$13)</f>
        <v>0</v>
      </c>
    </row>
    <row r="254">
      <c r="M254" s="277"/>
      <c r="N254" s="105">
        <f>SUMIFS(Entradas[Valores],Entradas[Cliente],M254,Entradas[Data da Competência],"&gt;="&amp;RESUMO!$C$4,Entradas[Data da Competência],"&lt;"&amp;RESUMO!$D$5,Entradas[Centro de Custos],X!$E$14,Entradas[Status],X!$E$13)</f>
        <v>0</v>
      </c>
      <c r="P254" s="277"/>
      <c r="Q254" s="105">
        <f>SUMIFS(Saidas[Valores],Saidas[Fornecedor],P254,Saidas[Data da Competência],"&gt;="&amp;RESUMO!$C$4,Saidas[Data da Competência],"&lt;"&amp;RESUMO!$D$5,Saidas[Centro de Custos],X!$E$14,Saidas[Status],X!$E$13)</f>
        <v>0</v>
      </c>
    </row>
    <row r="255">
      <c r="M255" s="277"/>
      <c r="N255" s="105">
        <f>SUMIFS(Entradas[Valores],Entradas[Cliente],M255,Entradas[Data da Competência],"&gt;="&amp;RESUMO!$C$4,Entradas[Data da Competência],"&lt;"&amp;RESUMO!$D$5,Entradas[Centro de Custos],X!$E$14,Entradas[Status],X!$E$13)</f>
        <v>0</v>
      </c>
      <c r="P255" s="277"/>
      <c r="Q255" s="105">
        <f>SUMIFS(Saidas[Valores],Saidas[Fornecedor],P255,Saidas[Data da Competência],"&gt;="&amp;RESUMO!$C$4,Saidas[Data da Competência],"&lt;"&amp;RESUMO!$D$5,Saidas[Centro de Custos],X!$E$14,Saidas[Status],X!$E$13)</f>
        <v>0</v>
      </c>
    </row>
    <row r="256">
      <c r="M256" s="277"/>
      <c r="N256" s="105">
        <f>SUMIFS(Entradas[Valores],Entradas[Cliente],M256,Entradas[Data da Competência],"&gt;="&amp;RESUMO!$C$4,Entradas[Data da Competência],"&lt;"&amp;RESUMO!$D$5,Entradas[Centro de Custos],X!$E$14,Entradas[Status],X!$E$13)</f>
        <v>0</v>
      </c>
      <c r="P256" s="277"/>
      <c r="Q256" s="105">
        <f>SUMIFS(Saidas[Valores],Saidas[Fornecedor],P256,Saidas[Data da Competência],"&gt;="&amp;RESUMO!$C$4,Saidas[Data da Competência],"&lt;"&amp;RESUMO!$D$5,Saidas[Centro de Custos],X!$E$14,Saidas[Status],X!$E$13)</f>
        <v>0</v>
      </c>
    </row>
    <row r="257">
      <c r="M257" s="277"/>
      <c r="N257" s="105">
        <f>SUMIFS(Entradas[Valores],Entradas[Cliente],M257,Entradas[Data da Competência],"&gt;="&amp;RESUMO!$C$4,Entradas[Data da Competência],"&lt;"&amp;RESUMO!$D$5,Entradas[Centro de Custos],X!$E$14,Entradas[Status],X!$E$13)</f>
        <v>0</v>
      </c>
      <c r="P257" s="277"/>
      <c r="Q257" s="105">
        <f>SUMIFS(Saidas[Valores],Saidas[Fornecedor],P257,Saidas[Data da Competência],"&gt;="&amp;RESUMO!$C$4,Saidas[Data da Competência],"&lt;"&amp;RESUMO!$D$5,Saidas[Centro de Custos],X!$E$14,Saidas[Status],X!$E$13)</f>
        <v>0</v>
      </c>
    </row>
    <row r="258">
      <c r="M258" s="277"/>
      <c r="N258" s="105">
        <f>SUMIFS(Entradas[Valores],Entradas[Cliente],M258,Entradas[Data da Competência],"&gt;="&amp;RESUMO!$C$4,Entradas[Data da Competência],"&lt;"&amp;RESUMO!$D$5,Entradas[Centro de Custos],X!$E$14,Entradas[Status],X!$E$13)</f>
        <v>0</v>
      </c>
      <c r="P258" s="277"/>
      <c r="Q258" s="105">
        <f>SUMIFS(Saidas[Valores],Saidas[Fornecedor],P258,Saidas[Data da Competência],"&gt;="&amp;RESUMO!$C$4,Saidas[Data da Competência],"&lt;"&amp;RESUMO!$D$5,Saidas[Centro de Custos],X!$E$14,Saidas[Status],X!$E$13)</f>
        <v>0</v>
      </c>
    </row>
    <row r="259">
      <c r="M259" s="277"/>
      <c r="N259" s="105">
        <f>SUMIFS(Entradas[Valores],Entradas[Cliente],M259,Entradas[Data da Competência],"&gt;="&amp;RESUMO!$C$4,Entradas[Data da Competência],"&lt;"&amp;RESUMO!$D$5,Entradas[Centro de Custos],X!$E$14,Entradas[Status],X!$E$13)</f>
        <v>0</v>
      </c>
      <c r="P259" s="277"/>
      <c r="Q259" s="105">
        <f>SUMIFS(Saidas[Valores],Saidas[Fornecedor],P259,Saidas[Data da Competência],"&gt;="&amp;RESUMO!$C$4,Saidas[Data da Competência],"&lt;"&amp;RESUMO!$D$5,Saidas[Centro de Custos],X!$E$14,Saidas[Status],X!$E$13)</f>
        <v>0</v>
      </c>
    </row>
    <row r="260">
      <c r="M260" s="277"/>
      <c r="N260" s="105">
        <f>SUMIFS(Entradas[Valores],Entradas[Cliente],M260,Entradas[Data da Competência],"&gt;="&amp;RESUMO!$C$4,Entradas[Data da Competência],"&lt;"&amp;RESUMO!$D$5,Entradas[Centro de Custos],X!$E$14,Entradas[Status],X!$E$13)</f>
        <v>0</v>
      </c>
      <c r="P260" s="277"/>
      <c r="Q260" s="105">
        <f>SUMIFS(Saidas[Valores],Saidas[Fornecedor],P260,Saidas[Data da Competência],"&gt;="&amp;RESUMO!$C$4,Saidas[Data da Competência],"&lt;"&amp;RESUMO!$D$5,Saidas[Centro de Custos],X!$E$14,Saidas[Status],X!$E$13)</f>
        <v>0</v>
      </c>
    </row>
    <row r="261">
      <c r="M261" s="277"/>
      <c r="N261" s="105">
        <f>SUMIFS(Entradas[Valores],Entradas[Cliente],M261,Entradas[Data da Competência],"&gt;="&amp;RESUMO!$C$4,Entradas[Data da Competência],"&lt;"&amp;RESUMO!$D$5,Entradas[Centro de Custos],X!$E$14,Entradas[Status],X!$E$13)</f>
        <v>0</v>
      </c>
      <c r="P261" s="277"/>
      <c r="Q261" s="105">
        <f>SUMIFS(Saidas[Valores],Saidas[Fornecedor],P261,Saidas[Data da Competência],"&gt;="&amp;RESUMO!$C$4,Saidas[Data da Competência],"&lt;"&amp;RESUMO!$D$5,Saidas[Centro de Custos],X!$E$14,Saidas[Status],X!$E$13)</f>
        <v>0</v>
      </c>
    </row>
    <row r="262">
      <c r="M262" s="277"/>
      <c r="N262" s="105">
        <f>SUMIFS(Entradas[Valores],Entradas[Cliente],M262,Entradas[Data da Competência],"&gt;="&amp;RESUMO!$C$4,Entradas[Data da Competência],"&lt;"&amp;RESUMO!$D$5,Entradas[Centro de Custos],X!$E$14,Entradas[Status],X!$E$13)</f>
        <v>0</v>
      </c>
      <c r="P262" s="277"/>
      <c r="Q262" s="105">
        <f>SUMIFS(Saidas[Valores],Saidas[Fornecedor],P262,Saidas[Data da Competência],"&gt;="&amp;RESUMO!$C$4,Saidas[Data da Competência],"&lt;"&amp;RESUMO!$D$5,Saidas[Centro de Custos],X!$E$14,Saidas[Status],X!$E$13)</f>
        <v>0</v>
      </c>
    </row>
    <row r="263">
      <c r="M263" s="277"/>
      <c r="N263" s="105">
        <f>SUMIFS(Entradas[Valores],Entradas[Cliente],M263,Entradas[Data da Competência],"&gt;="&amp;RESUMO!$C$4,Entradas[Data da Competência],"&lt;"&amp;RESUMO!$D$5,Entradas[Centro de Custos],X!$E$14,Entradas[Status],X!$E$13)</f>
        <v>0</v>
      </c>
      <c r="P263" s="277"/>
      <c r="Q263" s="105">
        <f>SUMIFS(Saidas[Valores],Saidas[Fornecedor],P263,Saidas[Data da Competência],"&gt;="&amp;RESUMO!$C$4,Saidas[Data da Competência],"&lt;"&amp;RESUMO!$D$5,Saidas[Centro de Custos],X!$E$14,Saidas[Status],X!$E$13)</f>
        <v>0</v>
      </c>
    </row>
    <row r="264">
      <c r="M264" s="277"/>
      <c r="N264" s="105">
        <f>SUMIFS(Entradas[Valores],Entradas[Cliente],M264,Entradas[Data da Competência],"&gt;="&amp;RESUMO!$C$4,Entradas[Data da Competência],"&lt;"&amp;RESUMO!$D$5,Entradas[Centro de Custos],X!$E$14,Entradas[Status],X!$E$13)</f>
        <v>0</v>
      </c>
      <c r="P264" s="277"/>
      <c r="Q264" s="105">
        <f>SUMIFS(Saidas[Valores],Saidas[Fornecedor],P264,Saidas[Data da Competência],"&gt;="&amp;RESUMO!$C$4,Saidas[Data da Competência],"&lt;"&amp;RESUMO!$D$5,Saidas[Centro de Custos],X!$E$14,Saidas[Status],X!$E$13)</f>
        <v>0</v>
      </c>
    </row>
    <row r="265">
      <c r="M265" s="277"/>
      <c r="N265" s="105">
        <f>SUMIFS(Entradas[Valores],Entradas[Cliente],M265,Entradas[Data da Competência],"&gt;="&amp;RESUMO!$C$4,Entradas[Data da Competência],"&lt;"&amp;RESUMO!$D$5,Entradas[Centro de Custos],X!$E$14,Entradas[Status],X!$E$13)</f>
        <v>0</v>
      </c>
      <c r="P265" s="277"/>
      <c r="Q265" s="105">
        <f>SUMIFS(Saidas[Valores],Saidas[Fornecedor],P265,Saidas[Data da Competência],"&gt;="&amp;RESUMO!$C$4,Saidas[Data da Competência],"&lt;"&amp;RESUMO!$D$5,Saidas[Centro de Custos],X!$E$14,Saidas[Status],X!$E$13)</f>
        <v>0</v>
      </c>
    </row>
    <row r="266">
      <c r="M266" s="277"/>
      <c r="N266" s="105">
        <f>SUMIFS(Entradas[Valores],Entradas[Cliente],M266,Entradas[Data da Competência],"&gt;="&amp;RESUMO!$C$4,Entradas[Data da Competência],"&lt;"&amp;RESUMO!$D$5,Entradas[Centro de Custos],X!$E$14,Entradas[Status],X!$E$13)</f>
        <v>0</v>
      </c>
      <c r="P266" s="277"/>
      <c r="Q266" s="105">
        <f>SUMIFS(Saidas[Valores],Saidas[Fornecedor],P266,Saidas[Data da Competência],"&gt;="&amp;RESUMO!$C$4,Saidas[Data da Competência],"&lt;"&amp;RESUMO!$D$5,Saidas[Centro de Custos],X!$E$14,Saidas[Status],X!$E$13)</f>
        <v>0</v>
      </c>
    </row>
    <row r="267">
      <c r="M267" s="277"/>
      <c r="N267" s="105">
        <f>SUMIFS(Entradas[Valores],Entradas[Cliente],M267,Entradas[Data da Competência],"&gt;="&amp;RESUMO!$C$4,Entradas[Data da Competência],"&lt;"&amp;RESUMO!$D$5,Entradas[Centro de Custos],X!$E$14,Entradas[Status],X!$E$13)</f>
        <v>0</v>
      </c>
      <c r="P267" s="277"/>
      <c r="Q267" s="105">
        <f>SUMIFS(Saidas[Valores],Saidas[Fornecedor],P267,Saidas[Data da Competência],"&gt;="&amp;RESUMO!$C$4,Saidas[Data da Competência],"&lt;"&amp;RESUMO!$D$5,Saidas[Centro de Custos],X!$E$14,Saidas[Status],X!$E$13)</f>
        <v>0</v>
      </c>
    </row>
    <row r="268">
      <c r="M268" s="277"/>
      <c r="N268" s="105">
        <f>SUMIFS(Entradas[Valores],Entradas[Cliente],M268,Entradas[Data da Competência],"&gt;="&amp;RESUMO!$C$4,Entradas[Data da Competência],"&lt;"&amp;RESUMO!$D$5,Entradas[Centro de Custos],X!$E$14,Entradas[Status],X!$E$13)</f>
        <v>0</v>
      </c>
      <c r="P268" s="277"/>
      <c r="Q268" s="105">
        <f>SUMIFS(Saidas[Valores],Saidas[Fornecedor],P268,Saidas[Data da Competência],"&gt;="&amp;RESUMO!$C$4,Saidas[Data da Competência],"&lt;"&amp;RESUMO!$D$5,Saidas[Centro de Custos],X!$E$14,Saidas[Status],X!$E$13)</f>
        <v>0</v>
      </c>
    </row>
    <row r="269">
      <c r="M269" s="277"/>
      <c r="N269" s="105">
        <f>SUMIFS(Entradas[Valores],Entradas[Cliente],M269,Entradas[Data da Competência],"&gt;="&amp;RESUMO!$C$4,Entradas[Data da Competência],"&lt;"&amp;RESUMO!$D$5,Entradas[Centro de Custos],X!$E$14,Entradas[Status],X!$E$13)</f>
        <v>0</v>
      </c>
      <c r="P269" s="277"/>
      <c r="Q269" s="105">
        <f>SUMIFS(Saidas[Valores],Saidas[Fornecedor],P269,Saidas[Data da Competência],"&gt;="&amp;RESUMO!$C$4,Saidas[Data da Competência],"&lt;"&amp;RESUMO!$D$5,Saidas[Centro de Custos],X!$E$14,Saidas[Status],X!$E$13)</f>
        <v>0</v>
      </c>
    </row>
    <row r="270">
      <c r="M270" s="277"/>
      <c r="N270" s="105">
        <f>SUMIFS(Entradas[Valores],Entradas[Cliente],M270,Entradas[Data da Competência],"&gt;="&amp;RESUMO!$C$4,Entradas[Data da Competência],"&lt;"&amp;RESUMO!$D$5,Entradas[Centro de Custos],X!$E$14,Entradas[Status],X!$E$13)</f>
        <v>0</v>
      </c>
      <c r="P270" s="277"/>
      <c r="Q270" s="105">
        <f>SUMIFS(Saidas[Valores],Saidas[Fornecedor],P270,Saidas[Data da Competência],"&gt;="&amp;RESUMO!$C$4,Saidas[Data da Competência],"&lt;"&amp;RESUMO!$D$5,Saidas[Centro de Custos],X!$E$14,Saidas[Status],X!$E$13)</f>
        <v>0</v>
      </c>
    </row>
    <row r="271">
      <c r="M271" s="277"/>
      <c r="N271" s="105">
        <f>SUMIFS(Entradas[Valores],Entradas[Cliente],M271,Entradas[Data da Competência],"&gt;="&amp;RESUMO!$C$4,Entradas[Data da Competência],"&lt;"&amp;RESUMO!$D$5,Entradas[Centro de Custos],X!$E$14,Entradas[Status],X!$E$13)</f>
        <v>0</v>
      </c>
      <c r="P271" s="277"/>
      <c r="Q271" s="105">
        <f>SUMIFS(Saidas[Valores],Saidas[Fornecedor],P271,Saidas[Data da Competência],"&gt;="&amp;RESUMO!$C$4,Saidas[Data da Competência],"&lt;"&amp;RESUMO!$D$5,Saidas[Centro de Custos],X!$E$14,Saidas[Status],X!$E$13)</f>
        <v>0</v>
      </c>
    </row>
    <row r="272">
      <c r="M272" s="277"/>
      <c r="N272" s="105">
        <f>SUMIFS(Entradas[Valores],Entradas[Cliente],M272,Entradas[Data da Competência],"&gt;="&amp;RESUMO!$C$4,Entradas[Data da Competência],"&lt;"&amp;RESUMO!$D$5,Entradas[Centro de Custos],X!$E$14,Entradas[Status],X!$E$13)</f>
        <v>0</v>
      </c>
      <c r="P272" s="277"/>
      <c r="Q272" s="105">
        <f>SUMIFS(Saidas[Valores],Saidas[Fornecedor],P272,Saidas[Data da Competência],"&gt;="&amp;RESUMO!$C$4,Saidas[Data da Competência],"&lt;"&amp;RESUMO!$D$5,Saidas[Centro de Custos],X!$E$14,Saidas[Status],X!$E$13)</f>
        <v>0</v>
      </c>
    </row>
    <row r="273">
      <c r="M273" s="277"/>
      <c r="N273" s="105">
        <f>SUMIFS(Entradas[Valores],Entradas[Cliente],M273,Entradas[Data da Competência],"&gt;="&amp;RESUMO!$C$4,Entradas[Data da Competência],"&lt;"&amp;RESUMO!$D$5,Entradas[Centro de Custos],X!$E$14,Entradas[Status],X!$E$13)</f>
        <v>0</v>
      </c>
      <c r="P273" s="277"/>
      <c r="Q273" s="105">
        <f>SUMIFS(Saidas[Valores],Saidas[Fornecedor],P273,Saidas[Data da Competência],"&gt;="&amp;RESUMO!$C$4,Saidas[Data da Competência],"&lt;"&amp;RESUMO!$D$5,Saidas[Centro de Custos],X!$E$14,Saidas[Status],X!$E$13)</f>
        <v>0</v>
      </c>
    </row>
    <row r="274">
      <c r="M274" s="277"/>
      <c r="N274" s="105">
        <f>SUMIFS(Entradas[Valores],Entradas[Cliente],M274,Entradas[Data da Competência],"&gt;="&amp;RESUMO!$C$4,Entradas[Data da Competência],"&lt;"&amp;RESUMO!$D$5,Entradas[Centro de Custos],X!$E$14,Entradas[Status],X!$E$13)</f>
        <v>0</v>
      </c>
      <c r="P274" s="277"/>
      <c r="Q274" s="105">
        <f>SUMIFS(Saidas[Valores],Saidas[Fornecedor],P274,Saidas[Data da Competência],"&gt;="&amp;RESUMO!$C$4,Saidas[Data da Competência],"&lt;"&amp;RESUMO!$D$5,Saidas[Centro de Custos],X!$E$14,Saidas[Status],X!$E$13)</f>
        <v>0</v>
      </c>
    </row>
    <row r="275">
      <c r="M275" s="277"/>
      <c r="N275" s="105">
        <f>SUMIFS(Entradas[Valores],Entradas[Cliente],M275,Entradas[Data da Competência],"&gt;="&amp;RESUMO!$C$4,Entradas[Data da Competência],"&lt;"&amp;RESUMO!$D$5,Entradas[Centro de Custos],X!$E$14,Entradas[Status],X!$E$13)</f>
        <v>0</v>
      </c>
      <c r="P275" s="277"/>
      <c r="Q275" s="105">
        <f>SUMIFS(Saidas[Valores],Saidas[Fornecedor],P275,Saidas[Data da Competência],"&gt;="&amp;RESUMO!$C$4,Saidas[Data da Competência],"&lt;"&amp;RESUMO!$D$5,Saidas[Centro de Custos],X!$E$14,Saidas[Status],X!$E$13)</f>
        <v>0</v>
      </c>
    </row>
    <row r="276">
      <c r="M276" s="277"/>
      <c r="N276" s="105">
        <f>SUMIFS(Entradas[Valores],Entradas[Cliente],M276,Entradas[Data da Competência],"&gt;="&amp;RESUMO!$C$4,Entradas[Data da Competência],"&lt;"&amp;RESUMO!$D$5,Entradas[Centro de Custos],X!$E$14,Entradas[Status],X!$E$13)</f>
        <v>0</v>
      </c>
      <c r="P276" s="277"/>
      <c r="Q276" s="105">
        <f>SUMIFS(Saidas[Valores],Saidas[Fornecedor],P276,Saidas[Data da Competência],"&gt;="&amp;RESUMO!$C$4,Saidas[Data da Competência],"&lt;"&amp;RESUMO!$D$5,Saidas[Centro de Custos],X!$E$14,Saidas[Status],X!$E$13)</f>
        <v>0</v>
      </c>
    </row>
    <row r="277">
      <c r="M277" s="277"/>
      <c r="N277" s="105">
        <f>SUMIFS(Entradas[Valores],Entradas[Cliente],M277,Entradas[Data da Competência],"&gt;="&amp;RESUMO!$C$4,Entradas[Data da Competência],"&lt;"&amp;RESUMO!$D$5,Entradas[Centro de Custos],X!$E$14,Entradas[Status],X!$E$13)</f>
        <v>0</v>
      </c>
      <c r="P277" s="277"/>
      <c r="Q277" s="105">
        <f>SUMIFS(Saidas[Valores],Saidas[Fornecedor],P277,Saidas[Data da Competência],"&gt;="&amp;RESUMO!$C$4,Saidas[Data da Competência],"&lt;"&amp;RESUMO!$D$5,Saidas[Centro de Custos],X!$E$14,Saidas[Status],X!$E$13)</f>
        <v>0</v>
      </c>
    </row>
    <row r="278">
      <c r="M278" s="277"/>
      <c r="N278" s="105">
        <f>SUMIFS(Entradas[Valores],Entradas[Cliente],M278,Entradas[Data da Competência],"&gt;="&amp;RESUMO!$C$4,Entradas[Data da Competência],"&lt;"&amp;RESUMO!$D$5,Entradas[Centro de Custos],X!$E$14,Entradas[Status],X!$E$13)</f>
        <v>0</v>
      </c>
      <c r="P278" s="277"/>
      <c r="Q278" s="105">
        <f>SUMIFS(Saidas[Valores],Saidas[Fornecedor],P278,Saidas[Data da Competência],"&gt;="&amp;RESUMO!$C$4,Saidas[Data da Competência],"&lt;"&amp;RESUMO!$D$5,Saidas[Centro de Custos],X!$E$14,Saidas[Status],X!$E$13)</f>
        <v>0</v>
      </c>
    </row>
    <row r="279">
      <c r="M279" s="277"/>
      <c r="N279" s="105">
        <f>SUMIFS(Entradas[Valores],Entradas[Cliente],M279,Entradas[Data da Competência],"&gt;="&amp;RESUMO!$C$4,Entradas[Data da Competência],"&lt;"&amp;RESUMO!$D$5,Entradas[Centro de Custos],X!$E$14,Entradas[Status],X!$E$13)</f>
        <v>0</v>
      </c>
      <c r="P279" s="277"/>
      <c r="Q279" s="105">
        <f>SUMIFS(Saidas[Valores],Saidas[Fornecedor],P279,Saidas[Data da Competência],"&gt;="&amp;RESUMO!$C$4,Saidas[Data da Competência],"&lt;"&amp;RESUMO!$D$5,Saidas[Centro de Custos],X!$E$14,Saidas[Status],X!$E$13)</f>
        <v>0</v>
      </c>
    </row>
    <row r="280">
      <c r="M280" s="277"/>
      <c r="N280" s="105">
        <f>SUMIFS(Entradas[Valores],Entradas[Cliente],M280,Entradas[Data da Competência],"&gt;="&amp;RESUMO!$C$4,Entradas[Data da Competência],"&lt;"&amp;RESUMO!$D$5,Entradas[Centro de Custos],X!$E$14,Entradas[Status],X!$E$13)</f>
        <v>0</v>
      </c>
      <c r="P280" s="277"/>
      <c r="Q280" s="105">
        <f>SUMIFS(Saidas[Valores],Saidas[Fornecedor],P280,Saidas[Data da Competência],"&gt;="&amp;RESUMO!$C$4,Saidas[Data da Competência],"&lt;"&amp;RESUMO!$D$5,Saidas[Centro de Custos],X!$E$14,Saidas[Status],X!$E$13)</f>
        <v>0</v>
      </c>
    </row>
    <row r="281">
      <c r="M281" s="277"/>
      <c r="N281" s="105">
        <f>SUMIFS(Entradas[Valores],Entradas[Cliente],M281,Entradas[Data da Competência],"&gt;="&amp;RESUMO!$C$4,Entradas[Data da Competência],"&lt;"&amp;RESUMO!$D$5,Entradas[Centro de Custos],X!$E$14,Entradas[Status],X!$E$13)</f>
        <v>0</v>
      </c>
      <c r="P281" s="277"/>
      <c r="Q281" s="105">
        <f>SUMIFS(Saidas[Valores],Saidas[Fornecedor],P281,Saidas[Data da Competência],"&gt;="&amp;RESUMO!$C$4,Saidas[Data da Competência],"&lt;"&amp;RESUMO!$D$5,Saidas[Centro de Custos],X!$E$14,Saidas[Status],X!$E$13)</f>
        <v>0</v>
      </c>
    </row>
    <row r="282">
      <c r="M282" s="277"/>
      <c r="N282" s="105">
        <f>SUMIFS(Entradas[Valores],Entradas[Cliente],M282,Entradas[Data da Competência],"&gt;="&amp;RESUMO!$C$4,Entradas[Data da Competência],"&lt;"&amp;RESUMO!$D$5,Entradas[Centro de Custos],X!$E$14,Entradas[Status],X!$E$13)</f>
        <v>0</v>
      </c>
      <c r="P282" s="277"/>
      <c r="Q282" s="105">
        <f>SUMIFS(Saidas[Valores],Saidas[Fornecedor],P282,Saidas[Data da Competência],"&gt;="&amp;RESUMO!$C$4,Saidas[Data da Competência],"&lt;"&amp;RESUMO!$D$5,Saidas[Centro de Custos],X!$E$14,Saidas[Status],X!$E$13)</f>
        <v>0</v>
      </c>
    </row>
    <row r="283">
      <c r="M283" s="277"/>
      <c r="N283" s="105">
        <f>SUMIFS(Entradas[Valores],Entradas[Cliente],M283,Entradas[Data da Competência],"&gt;="&amp;RESUMO!$C$4,Entradas[Data da Competência],"&lt;"&amp;RESUMO!$D$5,Entradas[Centro de Custos],X!$E$14,Entradas[Status],X!$E$13)</f>
        <v>0</v>
      </c>
      <c r="P283" s="277"/>
      <c r="Q283" s="105">
        <f>SUMIFS(Saidas[Valores],Saidas[Fornecedor],P283,Saidas[Data da Competência],"&gt;="&amp;RESUMO!$C$4,Saidas[Data da Competência],"&lt;"&amp;RESUMO!$D$5,Saidas[Centro de Custos],X!$E$14,Saidas[Status],X!$E$13)</f>
        <v>0</v>
      </c>
    </row>
    <row r="284">
      <c r="M284" s="277"/>
      <c r="N284" s="105">
        <f>SUMIFS(Entradas[Valores],Entradas[Cliente],M284,Entradas[Data da Competência],"&gt;="&amp;RESUMO!$C$4,Entradas[Data da Competência],"&lt;"&amp;RESUMO!$D$5,Entradas[Centro de Custos],X!$E$14,Entradas[Status],X!$E$13)</f>
        <v>0</v>
      </c>
      <c r="P284" s="277"/>
      <c r="Q284" s="105">
        <f>SUMIFS(Saidas[Valores],Saidas[Fornecedor],P284,Saidas[Data da Competência],"&gt;="&amp;RESUMO!$C$4,Saidas[Data da Competência],"&lt;"&amp;RESUMO!$D$5,Saidas[Centro de Custos],X!$E$14,Saidas[Status],X!$E$13)</f>
        <v>0</v>
      </c>
    </row>
    <row r="285">
      <c r="M285" s="277"/>
      <c r="N285" s="105">
        <f>SUMIFS(Entradas[Valores],Entradas[Cliente],M285,Entradas[Data da Competência],"&gt;="&amp;RESUMO!$C$4,Entradas[Data da Competência],"&lt;"&amp;RESUMO!$D$5,Entradas[Centro de Custos],X!$E$14,Entradas[Status],X!$E$13)</f>
        <v>0</v>
      </c>
      <c r="P285" s="277"/>
      <c r="Q285" s="105">
        <f>SUMIFS(Saidas[Valores],Saidas[Fornecedor],P285,Saidas[Data da Competência],"&gt;="&amp;RESUMO!$C$4,Saidas[Data da Competência],"&lt;"&amp;RESUMO!$D$5,Saidas[Centro de Custos],X!$E$14,Saidas[Status],X!$E$13)</f>
        <v>0</v>
      </c>
    </row>
    <row r="286">
      <c r="M286" s="277"/>
      <c r="N286" s="105">
        <f>SUMIFS(Entradas[Valores],Entradas[Cliente],M286,Entradas[Data da Competência],"&gt;="&amp;RESUMO!$C$4,Entradas[Data da Competência],"&lt;"&amp;RESUMO!$D$5,Entradas[Centro de Custos],X!$E$14,Entradas[Status],X!$E$13)</f>
        <v>0</v>
      </c>
      <c r="P286" s="277"/>
      <c r="Q286" s="105">
        <f>SUMIFS(Saidas[Valores],Saidas[Fornecedor],P286,Saidas[Data da Competência],"&gt;="&amp;RESUMO!$C$4,Saidas[Data da Competência],"&lt;"&amp;RESUMO!$D$5,Saidas[Centro de Custos],X!$E$14,Saidas[Status],X!$E$13)</f>
        <v>0</v>
      </c>
    </row>
    <row r="287">
      <c r="M287" s="277"/>
      <c r="N287" s="105">
        <f>SUMIFS(Entradas[Valores],Entradas[Cliente],M287,Entradas[Data da Competência],"&gt;="&amp;RESUMO!$C$4,Entradas[Data da Competência],"&lt;"&amp;RESUMO!$D$5,Entradas[Centro de Custos],X!$E$14,Entradas[Status],X!$E$13)</f>
        <v>0</v>
      </c>
      <c r="P287" s="277"/>
      <c r="Q287" s="105">
        <f>SUMIFS(Saidas[Valores],Saidas[Fornecedor],P287,Saidas[Data da Competência],"&gt;="&amp;RESUMO!$C$4,Saidas[Data da Competência],"&lt;"&amp;RESUMO!$D$5,Saidas[Centro de Custos],X!$E$14,Saidas[Status],X!$E$13)</f>
        <v>0</v>
      </c>
    </row>
    <row r="288">
      <c r="M288" s="277"/>
      <c r="N288" s="105">
        <f>SUMIFS(Entradas[Valores],Entradas[Cliente],M288,Entradas[Data da Competência],"&gt;="&amp;RESUMO!$C$4,Entradas[Data da Competência],"&lt;"&amp;RESUMO!$D$5,Entradas[Centro de Custos],X!$E$14,Entradas[Status],X!$E$13)</f>
        <v>0</v>
      </c>
      <c r="P288" s="277"/>
      <c r="Q288" s="105">
        <f>SUMIFS(Saidas[Valores],Saidas[Fornecedor],P288,Saidas[Data da Competência],"&gt;="&amp;RESUMO!$C$4,Saidas[Data da Competência],"&lt;"&amp;RESUMO!$D$5,Saidas[Centro de Custos],X!$E$14,Saidas[Status],X!$E$13)</f>
        <v>0</v>
      </c>
    </row>
    <row r="289">
      <c r="M289" s="277"/>
      <c r="N289" s="105">
        <f>SUMIFS(Entradas[Valores],Entradas[Cliente],M289,Entradas[Data da Competência],"&gt;="&amp;RESUMO!$C$4,Entradas[Data da Competência],"&lt;"&amp;RESUMO!$D$5,Entradas[Centro de Custos],X!$E$14,Entradas[Status],X!$E$13)</f>
        <v>0</v>
      </c>
      <c r="P289" s="277"/>
      <c r="Q289" s="105">
        <f>SUMIFS(Saidas[Valores],Saidas[Fornecedor],P289,Saidas[Data da Competência],"&gt;="&amp;RESUMO!$C$4,Saidas[Data da Competência],"&lt;"&amp;RESUMO!$D$5,Saidas[Centro de Custos],X!$E$14,Saidas[Status],X!$E$13)</f>
        <v>0</v>
      </c>
    </row>
    <row r="290">
      <c r="M290" s="277"/>
      <c r="N290" s="105">
        <f>SUMIFS(Entradas[Valores],Entradas[Cliente],M290,Entradas[Data da Competência],"&gt;="&amp;RESUMO!$C$4,Entradas[Data da Competência],"&lt;"&amp;RESUMO!$D$5,Entradas[Centro de Custos],X!$E$14,Entradas[Status],X!$E$13)</f>
        <v>0</v>
      </c>
      <c r="P290" s="277"/>
      <c r="Q290" s="105">
        <f>SUMIFS(Saidas[Valores],Saidas[Fornecedor],P290,Saidas[Data da Competência],"&gt;="&amp;RESUMO!$C$4,Saidas[Data da Competência],"&lt;"&amp;RESUMO!$D$5,Saidas[Centro de Custos],X!$E$14,Saidas[Status],X!$E$13)</f>
        <v>0</v>
      </c>
    </row>
    <row r="291">
      <c r="M291" s="277"/>
      <c r="N291" s="105">
        <f>SUMIFS(Entradas[Valores],Entradas[Cliente],M291,Entradas[Data da Competência],"&gt;="&amp;RESUMO!$C$4,Entradas[Data da Competência],"&lt;"&amp;RESUMO!$D$5,Entradas[Centro de Custos],X!$E$14,Entradas[Status],X!$E$13)</f>
        <v>0</v>
      </c>
      <c r="P291" s="277"/>
      <c r="Q291" s="105">
        <f>SUMIFS(Saidas[Valores],Saidas[Fornecedor],P291,Saidas[Data da Competência],"&gt;="&amp;RESUMO!$C$4,Saidas[Data da Competência],"&lt;"&amp;RESUMO!$D$5,Saidas[Centro de Custos],X!$E$14,Saidas[Status],X!$E$13)</f>
        <v>0</v>
      </c>
    </row>
    <row r="292">
      <c r="M292" s="277"/>
      <c r="N292" s="105">
        <f>SUMIFS(Entradas[Valores],Entradas[Cliente],M292,Entradas[Data da Competência],"&gt;="&amp;RESUMO!$C$4,Entradas[Data da Competência],"&lt;"&amp;RESUMO!$D$5,Entradas[Centro de Custos],X!$E$14,Entradas[Status],X!$E$13)</f>
        <v>0</v>
      </c>
      <c r="P292" s="277"/>
      <c r="Q292" s="105">
        <f>SUMIFS(Saidas[Valores],Saidas[Fornecedor],P292,Saidas[Data da Competência],"&gt;="&amp;RESUMO!$C$4,Saidas[Data da Competência],"&lt;"&amp;RESUMO!$D$5,Saidas[Centro de Custos],X!$E$14,Saidas[Status],X!$E$13)</f>
        <v>0</v>
      </c>
    </row>
    <row r="293">
      <c r="M293" s="277"/>
      <c r="N293" s="105">
        <f>SUMIFS(Entradas[Valores],Entradas[Cliente],M293,Entradas[Data da Competência],"&gt;="&amp;RESUMO!$C$4,Entradas[Data da Competência],"&lt;"&amp;RESUMO!$D$5,Entradas[Centro de Custos],X!$E$14,Entradas[Status],X!$E$13)</f>
        <v>0</v>
      </c>
      <c r="P293" s="277"/>
      <c r="Q293" s="105">
        <f>SUMIFS(Saidas[Valores],Saidas[Fornecedor],P293,Saidas[Data da Competência],"&gt;="&amp;RESUMO!$C$4,Saidas[Data da Competência],"&lt;"&amp;RESUMO!$D$5,Saidas[Centro de Custos],X!$E$14,Saidas[Status],X!$E$13)</f>
        <v>0</v>
      </c>
    </row>
    <row r="294">
      <c r="M294" s="277"/>
      <c r="N294" s="105">
        <f>SUMIFS(Entradas[Valores],Entradas[Cliente],M294,Entradas[Data da Competência],"&gt;="&amp;RESUMO!$C$4,Entradas[Data da Competência],"&lt;"&amp;RESUMO!$D$5,Entradas[Centro de Custos],X!$E$14,Entradas[Status],X!$E$13)</f>
        <v>0</v>
      </c>
      <c r="P294" s="277"/>
      <c r="Q294" s="105">
        <f>SUMIFS(Saidas[Valores],Saidas[Fornecedor],P294,Saidas[Data da Competência],"&gt;="&amp;RESUMO!$C$4,Saidas[Data da Competência],"&lt;"&amp;RESUMO!$D$5,Saidas[Centro de Custos],X!$E$14,Saidas[Status],X!$E$13)</f>
        <v>0</v>
      </c>
    </row>
    <row r="295">
      <c r="M295" s="277"/>
      <c r="N295" s="105">
        <f>SUMIFS(Entradas[Valores],Entradas[Cliente],M295,Entradas[Data da Competência],"&gt;="&amp;RESUMO!$C$4,Entradas[Data da Competência],"&lt;"&amp;RESUMO!$D$5,Entradas[Centro de Custos],X!$E$14,Entradas[Status],X!$E$13)</f>
        <v>0</v>
      </c>
      <c r="P295" s="277"/>
      <c r="Q295" s="105">
        <f>SUMIFS(Saidas[Valores],Saidas[Fornecedor],P295,Saidas[Data da Competência],"&gt;="&amp;RESUMO!$C$4,Saidas[Data da Competência],"&lt;"&amp;RESUMO!$D$5,Saidas[Centro de Custos],X!$E$14,Saidas[Status],X!$E$13)</f>
        <v>0</v>
      </c>
    </row>
    <row r="296">
      <c r="M296" s="277"/>
      <c r="N296" s="105">
        <f>SUMIFS(Entradas[Valores],Entradas[Cliente],M296,Entradas[Data da Competência],"&gt;="&amp;RESUMO!$C$4,Entradas[Data da Competência],"&lt;"&amp;RESUMO!$D$5,Entradas[Centro de Custos],X!$E$14,Entradas[Status],X!$E$13)</f>
        <v>0</v>
      </c>
      <c r="P296" s="277"/>
      <c r="Q296" s="105">
        <f>SUMIFS(Saidas[Valores],Saidas[Fornecedor],P296,Saidas[Data da Competência],"&gt;="&amp;RESUMO!$C$4,Saidas[Data da Competência],"&lt;"&amp;RESUMO!$D$5,Saidas[Centro de Custos],X!$E$14,Saidas[Status],X!$E$13)</f>
        <v>0</v>
      </c>
    </row>
    <row r="297">
      <c r="M297" s="277"/>
      <c r="N297" s="105">
        <f>SUMIFS(Entradas[Valores],Entradas[Cliente],M297,Entradas[Data da Competência],"&gt;="&amp;RESUMO!$C$4,Entradas[Data da Competência],"&lt;"&amp;RESUMO!$D$5,Entradas[Centro de Custos],X!$E$14,Entradas[Status],X!$E$13)</f>
        <v>0</v>
      </c>
      <c r="P297" s="277"/>
      <c r="Q297" s="105">
        <f>SUMIFS(Saidas[Valores],Saidas[Fornecedor],P297,Saidas[Data da Competência],"&gt;="&amp;RESUMO!$C$4,Saidas[Data da Competência],"&lt;"&amp;RESUMO!$D$5,Saidas[Centro de Custos],X!$E$14,Saidas[Status],X!$E$13)</f>
        <v>0</v>
      </c>
    </row>
    <row r="298">
      <c r="M298" s="277"/>
      <c r="N298" s="105">
        <f>SUMIFS(Entradas[Valores],Entradas[Cliente],M298,Entradas[Data da Competência],"&gt;="&amp;RESUMO!$C$4,Entradas[Data da Competência],"&lt;"&amp;RESUMO!$D$5,Entradas[Centro de Custos],X!$E$14,Entradas[Status],X!$E$13)</f>
        <v>0</v>
      </c>
      <c r="P298" s="277"/>
      <c r="Q298" s="105">
        <f>SUMIFS(Saidas[Valores],Saidas[Fornecedor],P298,Saidas[Data da Competência],"&gt;="&amp;RESUMO!$C$4,Saidas[Data da Competência],"&lt;"&amp;RESUMO!$D$5,Saidas[Centro de Custos],X!$E$14,Saidas[Status],X!$E$13)</f>
        <v>0</v>
      </c>
    </row>
    <row r="299">
      <c r="M299" s="277"/>
      <c r="N299" s="105">
        <f>SUMIFS(Entradas[Valores],Entradas[Cliente],M299,Entradas[Data da Competência],"&gt;="&amp;RESUMO!$C$4,Entradas[Data da Competência],"&lt;"&amp;RESUMO!$D$5,Entradas[Centro de Custos],X!$E$14,Entradas[Status],X!$E$13)</f>
        <v>0</v>
      </c>
      <c r="P299" s="277"/>
      <c r="Q299" s="105">
        <f>SUMIFS(Saidas[Valores],Saidas[Fornecedor],P299,Saidas[Data da Competência],"&gt;="&amp;RESUMO!$C$4,Saidas[Data da Competência],"&lt;"&amp;RESUMO!$D$5,Saidas[Centro de Custos],X!$E$14,Saidas[Status],X!$E$13)</f>
        <v>0</v>
      </c>
    </row>
    <row r="300">
      <c r="M300" s="277"/>
      <c r="N300" s="105">
        <f>SUMIFS(Entradas[Valores],Entradas[Cliente],M300,Entradas[Data da Competência],"&gt;="&amp;RESUMO!$C$4,Entradas[Data da Competência],"&lt;"&amp;RESUMO!$D$5,Entradas[Centro de Custos],X!$E$14,Entradas[Status],X!$E$13)</f>
        <v>0</v>
      </c>
      <c r="P300" s="277"/>
      <c r="Q300" s="105">
        <f>SUMIFS(Saidas[Valores],Saidas[Fornecedor],P300,Saidas[Data da Competência],"&gt;="&amp;RESUMO!$C$4,Saidas[Data da Competência],"&lt;"&amp;RESUMO!$D$5,Saidas[Centro de Custos],X!$E$14,Saidas[Status],X!$E$13)</f>
        <v>0</v>
      </c>
    </row>
    <row r="301">
      <c r="M301" s="277"/>
      <c r="N301" s="105">
        <f>SUMIFS(Entradas[Valores],Entradas[Cliente],M301,Entradas[Data da Competência],"&gt;="&amp;RESUMO!$C$4,Entradas[Data da Competência],"&lt;"&amp;RESUMO!$D$5,Entradas[Centro de Custos],X!$E$14,Entradas[Status],X!$E$13)</f>
        <v>0</v>
      </c>
      <c r="P301" s="277"/>
      <c r="Q301" s="105">
        <f>SUMIFS(Saidas[Valores],Saidas[Fornecedor],P301,Saidas[Data da Competência],"&gt;="&amp;RESUMO!$C$4,Saidas[Data da Competência],"&lt;"&amp;RESUMO!$D$5,Saidas[Centro de Custos],X!$E$14,Saidas[Status],X!$E$13)</f>
        <v>0</v>
      </c>
    </row>
    <row r="302">
      <c r="M302" s="277"/>
      <c r="N302" s="105">
        <f>SUMIFS(Entradas[Valores],Entradas[Cliente],M302,Entradas[Data da Competência],"&gt;="&amp;RESUMO!$C$4,Entradas[Data da Competência],"&lt;"&amp;RESUMO!$D$5,Entradas[Centro de Custos],X!$E$14,Entradas[Status],X!$E$13)</f>
        <v>0</v>
      </c>
      <c r="P302" s="277"/>
      <c r="Q302" s="105">
        <f>SUMIFS(Saidas[Valores],Saidas[Fornecedor],P302,Saidas[Data da Competência],"&gt;="&amp;RESUMO!$C$4,Saidas[Data da Competência],"&lt;"&amp;RESUMO!$D$5,Saidas[Centro de Custos],X!$E$14,Saidas[Status],X!$E$13)</f>
        <v>0</v>
      </c>
    </row>
    <row r="303">
      <c r="M303" s="277"/>
      <c r="N303" s="105">
        <f>SUMIFS(Entradas[Valores],Entradas[Cliente],M303,Entradas[Data da Competência],"&gt;="&amp;RESUMO!$C$4,Entradas[Data da Competência],"&lt;"&amp;RESUMO!$D$5,Entradas[Centro de Custos],X!$E$14,Entradas[Status],X!$E$13)</f>
        <v>0</v>
      </c>
      <c r="P303" s="277"/>
      <c r="Q303" s="105">
        <f>SUMIFS(Saidas[Valores],Saidas[Fornecedor],P303,Saidas[Data da Competência],"&gt;="&amp;RESUMO!$C$4,Saidas[Data da Competência],"&lt;"&amp;RESUMO!$D$5,Saidas[Centro de Custos],X!$E$14,Saidas[Status],X!$E$13)</f>
        <v>0</v>
      </c>
    </row>
    <row r="304">
      <c r="M304" s="277"/>
      <c r="N304" s="105">
        <f>SUMIFS(Entradas[Valores],Entradas[Cliente],M304,Entradas[Data da Competência],"&gt;="&amp;RESUMO!$C$4,Entradas[Data da Competência],"&lt;"&amp;RESUMO!$D$5,Entradas[Centro de Custos],X!$E$14,Entradas[Status],X!$E$13)</f>
        <v>0</v>
      </c>
      <c r="P304" s="277"/>
      <c r="Q304" s="105">
        <f>SUMIFS(Saidas[Valores],Saidas[Fornecedor],P304,Saidas[Data da Competência],"&gt;="&amp;RESUMO!$C$4,Saidas[Data da Competência],"&lt;"&amp;RESUMO!$D$5,Saidas[Centro de Custos],X!$E$14,Saidas[Status],X!$E$13)</f>
        <v>0</v>
      </c>
    </row>
    <row r="305">
      <c r="M305" s="277"/>
      <c r="N305" s="105">
        <f>SUMIFS(Entradas[Valores],Entradas[Cliente],M305,Entradas[Data da Competência],"&gt;="&amp;RESUMO!$C$4,Entradas[Data da Competência],"&lt;"&amp;RESUMO!$D$5,Entradas[Centro de Custos],X!$E$14,Entradas[Status],X!$E$13)</f>
        <v>0</v>
      </c>
      <c r="P305" s="277"/>
      <c r="Q305" s="105">
        <f>SUMIFS(Saidas[Valores],Saidas[Fornecedor],P305,Saidas[Data da Competência],"&gt;="&amp;RESUMO!$C$4,Saidas[Data da Competência],"&lt;"&amp;RESUMO!$D$5,Saidas[Centro de Custos],X!$E$14,Saidas[Status],X!$E$13)</f>
        <v>0</v>
      </c>
    </row>
    <row r="306">
      <c r="M306" s="277"/>
      <c r="N306" s="105">
        <f>SUMIFS(Entradas[Valores],Entradas[Cliente],M306,Entradas[Data da Competência],"&gt;="&amp;RESUMO!$C$4,Entradas[Data da Competência],"&lt;"&amp;RESUMO!$D$5,Entradas[Centro de Custos],X!$E$14,Entradas[Status],X!$E$13)</f>
        <v>0</v>
      </c>
      <c r="P306" s="277"/>
      <c r="Q306" s="105">
        <f>SUMIFS(Saidas[Valores],Saidas[Fornecedor],P306,Saidas[Data da Competência],"&gt;="&amp;RESUMO!$C$4,Saidas[Data da Competência],"&lt;"&amp;RESUMO!$D$5,Saidas[Centro de Custos],X!$E$14,Saidas[Status],X!$E$13)</f>
        <v>0</v>
      </c>
    </row>
    <row r="307">
      <c r="M307" s="277"/>
      <c r="N307" s="105">
        <f>SUMIFS(Entradas[Valores],Entradas[Cliente],M307,Entradas[Data da Competência],"&gt;="&amp;RESUMO!$C$4,Entradas[Data da Competência],"&lt;"&amp;RESUMO!$D$5,Entradas[Centro de Custos],X!$E$14,Entradas[Status],X!$E$13)</f>
        <v>0</v>
      </c>
      <c r="P307" s="277"/>
      <c r="Q307" s="105">
        <f>SUMIFS(Saidas[Valores],Saidas[Fornecedor],P307,Saidas[Data da Competência],"&gt;="&amp;RESUMO!$C$4,Saidas[Data da Competência],"&lt;"&amp;RESUMO!$D$5,Saidas[Centro de Custos],X!$E$14,Saidas[Status],X!$E$13)</f>
        <v>0</v>
      </c>
    </row>
    <row r="308">
      <c r="M308" s="277"/>
      <c r="N308" s="105">
        <f>SUMIFS(Entradas[Valores],Entradas[Cliente],M308,Entradas[Data da Competência],"&gt;="&amp;RESUMO!$C$4,Entradas[Data da Competência],"&lt;"&amp;RESUMO!$D$5,Entradas[Centro de Custos],X!$E$14,Entradas[Status],X!$E$13)</f>
        <v>0</v>
      </c>
      <c r="P308" s="277"/>
      <c r="Q308" s="105">
        <f>SUMIFS(Saidas[Valores],Saidas[Fornecedor],P308,Saidas[Data da Competência],"&gt;="&amp;RESUMO!$C$4,Saidas[Data da Competência],"&lt;"&amp;RESUMO!$D$5,Saidas[Centro de Custos],X!$E$14,Saidas[Status],X!$E$13)</f>
        <v>0</v>
      </c>
    </row>
    <row r="309">
      <c r="M309" s="277"/>
      <c r="N309" s="105">
        <f>SUMIFS(Entradas[Valores],Entradas[Cliente],M309,Entradas[Data da Competência],"&gt;="&amp;RESUMO!$C$4,Entradas[Data da Competência],"&lt;"&amp;RESUMO!$D$5,Entradas[Centro de Custos],X!$E$14,Entradas[Status],X!$E$13)</f>
        <v>0</v>
      </c>
      <c r="P309" s="277"/>
      <c r="Q309" s="105">
        <f>SUMIFS(Saidas[Valores],Saidas[Fornecedor],P309,Saidas[Data da Competência],"&gt;="&amp;RESUMO!$C$4,Saidas[Data da Competência],"&lt;"&amp;RESUMO!$D$5,Saidas[Centro de Custos],X!$E$14,Saidas[Status],X!$E$13)</f>
        <v>0</v>
      </c>
    </row>
    <row r="310">
      <c r="M310" s="277"/>
      <c r="N310" s="105">
        <f>SUMIFS(Entradas[Valores],Entradas[Cliente],M310,Entradas[Data da Competência],"&gt;="&amp;RESUMO!$C$4,Entradas[Data da Competência],"&lt;"&amp;RESUMO!$D$5,Entradas[Centro de Custos],X!$E$14,Entradas[Status],X!$E$13)</f>
        <v>0</v>
      </c>
      <c r="P310" s="277"/>
      <c r="Q310" s="105">
        <f>SUMIFS(Saidas[Valores],Saidas[Fornecedor],P310,Saidas[Data da Competência],"&gt;="&amp;RESUMO!$C$4,Saidas[Data da Competência],"&lt;"&amp;RESUMO!$D$5,Saidas[Centro de Custos],X!$E$14,Saidas[Status],X!$E$13)</f>
        <v>0</v>
      </c>
    </row>
    <row r="311">
      <c r="M311" s="277"/>
      <c r="N311" s="105">
        <f>SUMIFS(Entradas[Valores],Entradas[Cliente],M311,Entradas[Data da Competência],"&gt;="&amp;RESUMO!$C$4,Entradas[Data da Competência],"&lt;"&amp;RESUMO!$D$5,Entradas[Centro de Custos],X!$E$14,Entradas[Status],X!$E$13)</f>
        <v>0</v>
      </c>
      <c r="P311" s="277"/>
      <c r="Q311" s="105">
        <f>SUMIFS(Saidas[Valores],Saidas[Fornecedor],P311,Saidas[Data da Competência],"&gt;="&amp;RESUMO!$C$4,Saidas[Data da Competência],"&lt;"&amp;RESUMO!$D$5,Saidas[Centro de Custos],X!$E$14,Saidas[Status],X!$E$13)</f>
        <v>0</v>
      </c>
    </row>
    <row r="312">
      <c r="M312" s="277"/>
      <c r="N312" s="105">
        <f>SUMIFS(Entradas[Valores],Entradas[Cliente],M312,Entradas[Data da Competência],"&gt;="&amp;RESUMO!$C$4,Entradas[Data da Competência],"&lt;"&amp;RESUMO!$D$5,Entradas[Centro de Custos],X!$E$14,Entradas[Status],X!$E$13)</f>
        <v>0</v>
      </c>
      <c r="P312" s="277"/>
      <c r="Q312" s="105">
        <f>SUMIFS(Saidas[Valores],Saidas[Fornecedor],P312,Saidas[Data da Competência],"&gt;="&amp;RESUMO!$C$4,Saidas[Data da Competência],"&lt;"&amp;RESUMO!$D$5,Saidas[Centro de Custos],X!$E$14,Saidas[Status],X!$E$13)</f>
        <v>0</v>
      </c>
    </row>
    <row r="313">
      <c r="M313" s="277"/>
      <c r="N313" s="105">
        <f>SUMIFS(Entradas[Valores],Entradas[Cliente],M313,Entradas[Data da Competência],"&gt;="&amp;RESUMO!$C$4,Entradas[Data da Competência],"&lt;"&amp;RESUMO!$D$5,Entradas[Centro de Custos],X!$E$14,Entradas[Status],X!$E$13)</f>
        <v>0</v>
      </c>
      <c r="P313" s="277"/>
      <c r="Q313" s="105">
        <f>SUMIFS(Saidas[Valores],Saidas[Fornecedor],P313,Saidas[Data da Competência],"&gt;="&amp;RESUMO!$C$4,Saidas[Data da Competência],"&lt;"&amp;RESUMO!$D$5,Saidas[Centro de Custos],X!$E$14,Saidas[Status],X!$E$13)</f>
        <v>0</v>
      </c>
    </row>
    <row r="314">
      <c r="M314" s="277"/>
      <c r="N314" s="105">
        <f>SUMIFS(Entradas[Valores],Entradas[Cliente],M314,Entradas[Data da Competência],"&gt;="&amp;RESUMO!$C$4,Entradas[Data da Competência],"&lt;"&amp;RESUMO!$D$5,Entradas[Centro de Custos],X!$E$14,Entradas[Status],X!$E$13)</f>
        <v>0</v>
      </c>
      <c r="P314" s="277"/>
      <c r="Q314" s="105">
        <f>SUMIFS(Saidas[Valores],Saidas[Fornecedor],P314,Saidas[Data da Competência],"&gt;="&amp;RESUMO!$C$4,Saidas[Data da Competência],"&lt;"&amp;RESUMO!$D$5,Saidas[Centro de Custos],X!$E$14,Saidas[Status],X!$E$13)</f>
        <v>0</v>
      </c>
    </row>
    <row r="315">
      <c r="M315" s="277"/>
      <c r="N315" s="105">
        <f>SUMIFS(Entradas[Valores],Entradas[Cliente],M315,Entradas[Data da Competência],"&gt;="&amp;RESUMO!$C$4,Entradas[Data da Competência],"&lt;"&amp;RESUMO!$D$5,Entradas[Centro de Custos],X!$E$14,Entradas[Status],X!$E$13)</f>
        <v>0</v>
      </c>
      <c r="P315" s="277"/>
      <c r="Q315" s="105">
        <f>SUMIFS(Saidas[Valores],Saidas[Fornecedor],P315,Saidas[Data da Competência],"&gt;="&amp;RESUMO!$C$4,Saidas[Data da Competência],"&lt;"&amp;RESUMO!$D$5,Saidas[Centro de Custos],X!$E$14,Saidas[Status],X!$E$13)</f>
        <v>0</v>
      </c>
    </row>
    <row r="316">
      <c r="M316" s="277"/>
      <c r="N316" s="105">
        <f>SUMIFS(Entradas[Valores],Entradas[Cliente],M316,Entradas[Data da Competência],"&gt;="&amp;RESUMO!$C$4,Entradas[Data da Competência],"&lt;"&amp;RESUMO!$D$5,Entradas[Centro de Custos],X!$E$14,Entradas[Status],X!$E$13)</f>
        <v>0</v>
      </c>
      <c r="P316" s="277"/>
      <c r="Q316" s="105">
        <f>SUMIFS(Saidas[Valores],Saidas[Fornecedor],P316,Saidas[Data da Competência],"&gt;="&amp;RESUMO!$C$4,Saidas[Data da Competência],"&lt;"&amp;RESUMO!$D$5,Saidas[Centro de Custos],X!$E$14,Saidas[Status],X!$E$13)</f>
        <v>0</v>
      </c>
    </row>
    <row r="317">
      <c r="M317" s="277"/>
      <c r="N317" s="105">
        <f>SUMIFS(Entradas[Valores],Entradas[Cliente],M317,Entradas[Data da Competência],"&gt;="&amp;RESUMO!$C$4,Entradas[Data da Competência],"&lt;"&amp;RESUMO!$D$5,Entradas[Centro de Custos],X!$E$14,Entradas[Status],X!$E$13)</f>
        <v>0</v>
      </c>
      <c r="P317" s="277"/>
      <c r="Q317" s="105">
        <f>SUMIFS(Saidas[Valores],Saidas[Fornecedor],P317,Saidas[Data da Competência],"&gt;="&amp;RESUMO!$C$4,Saidas[Data da Competência],"&lt;"&amp;RESUMO!$D$5,Saidas[Centro de Custos],X!$E$14,Saidas[Status],X!$E$13)</f>
        <v>0</v>
      </c>
    </row>
    <row r="318">
      <c r="M318" s="277"/>
      <c r="N318" s="105">
        <f>SUMIFS(Entradas[Valores],Entradas[Cliente],M318,Entradas[Data da Competência],"&gt;="&amp;RESUMO!$C$4,Entradas[Data da Competência],"&lt;"&amp;RESUMO!$D$5,Entradas[Centro de Custos],X!$E$14,Entradas[Status],X!$E$13)</f>
        <v>0</v>
      </c>
      <c r="P318" s="277"/>
      <c r="Q318" s="105">
        <f>SUMIFS(Saidas[Valores],Saidas[Fornecedor],P318,Saidas[Data da Competência],"&gt;="&amp;RESUMO!$C$4,Saidas[Data da Competência],"&lt;"&amp;RESUMO!$D$5,Saidas[Centro de Custos],X!$E$14,Saidas[Status],X!$E$13)</f>
        <v>0</v>
      </c>
    </row>
    <row r="319">
      <c r="M319" s="277"/>
      <c r="N319" s="105">
        <f>SUMIFS(Entradas[Valores],Entradas[Cliente],M319,Entradas[Data da Competência],"&gt;="&amp;RESUMO!$C$4,Entradas[Data da Competência],"&lt;"&amp;RESUMO!$D$5,Entradas[Centro de Custos],X!$E$14,Entradas[Status],X!$E$13)</f>
        <v>0</v>
      </c>
      <c r="P319" s="277"/>
      <c r="Q319" s="105">
        <f>SUMIFS(Saidas[Valores],Saidas[Fornecedor],P319,Saidas[Data da Competência],"&gt;="&amp;RESUMO!$C$4,Saidas[Data da Competência],"&lt;"&amp;RESUMO!$D$5,Saidas[Centro de Custos],X!$E$14,Saidas[Status],X!$E$13)</f>
        <v>0</v>
      </c>
    </row>
    <row r="320">
      <c r="M320" s="277"/>
      <c r="N320" s="105">
        <f>SUMIFS(Entradas[Valores],Entradas[Cliente],M320,Entradas[Data da Competência],"&gt;="&amp;RESUMO!$C$4,Entradas[Data da Competência],"&lt;"&amp;RESUMO!$D$5,Entradas[Centro de Custos],X!$E$14,Entradas[Status],X!$E$13)</f>
        <v>0</v>
      </c>
      <c r="P320" s="277"/>
      <c r="Q320" s="105">
        <f>SUMIFS(Saidas[Valores],Saidas[Fornecedor],P320,Saidas[Data da Competência],"&gt;="&amp;RESUMO!$C$4,Saidas[Data da Competência],"&lt;"&amp;RESUMO!$D$5,Saidas[Centro de Custos],X!$E$14,Saidas[Status],X!$E$13)</f>
        <v>0</v>
      </c>
    </row>
    <row r="321">
      <c r="M321" s="277"/>
      <c r="N321" s="105">
        <f>SUMIFS(Entradas[Valores],Entradas[Cliente],M321,Entradas[Data da Competência],"&gt;="&amp;RESUMO!$C$4,Entradas[Data da Competência],"&lt;"&amp;RESUMO!$D$5,Entradas[Centro de Custos],X!$E$14,Entradas[Status],X!$E$13)</f>
        <v>0</v>
      </c>
      <c r="P321" s="277"/>
      <c r="Q321" s="105">
        <f>SUMIFS(Saidas[Valores],Saidas[Fornecedor],P321,Saidas[Data da Competência],"&gt;="&amp;RESUMO!$C$4,Saidas[Data da Competência],"&lt;"&amp;RESUMO!$D$5,Saidas[Centro de Custos],X!$E$14,Saidas[Status],X!$E$13)</f>
        <v>0</v>
      </c>
    </row>
    <row r="322">
      <c r="M322" s="277"/>
      <c r="N322" s="105">
        <f>SUMIFS(Entradas[Valores],Entradas[Cliente],M322,Entradas[Data da Competência],"&gt;="&amp;RESUMO!$C$4,Entradas[Data da Competência],"&lt;"&amp;RESUMO!$D$5,Entradas[Centro de Custos],X!$E$14,Entradas[Status],X!$E$13)</f>
        <v>0</v>
      </c>
      <c r="P322" s="277"/>
      <c r="Q322" s="105">
        <f>SUMIFS(Saidas[Valores],Saidas[Fornecedor],P322,Saidas[Data da Competência],"&gt;="&amp;RESUMO!$C$4,Saidas[Data da Competência],"&lt;"&amp;RESUMO!$D$5,Saidas[Centro de Custos],X!$E$14,Saidas[Status],X!$E$13)</f>
        <v>0</v>
      </c>
    </row>
    <row r="323">
      <c r="M323" s="277"/>
      <c r="N323" s="105">
        <f>SUMIFS(Entradas[Valores],Entradas[Cliente],M323,Entradas[Data da Competência],"&gt;="&amp;RESUMO!$C$4,Entradas[Data da Competência],"&lt;"&amp;RESUMO!$D$5,Entradas[Centro de Custos],X!$E$14,Entradas[Status],X!$E$13)</f>
        <v>0</v>
      </c>
      <c r="P323" s="277"/>
      <c r="Q323" s="105">
        <f>SUMIFS(Saidas[Valores],Saidas[Fornecedor],P323,Saidas[Data da Competência],"&gt;="&amp;RESUMO!$C$4,Saidas[Data da Competência],"&lt;"&amp;RESUMO!$D$5,Saidas[Centro de Custos],X!$E$14,Saidas[Status],X!$E$13)</f>
        <v>0</v>
      </c>
    </row>
    <row r="324">
      <c r="M324" s="277"/>
      <c r="N324" s="105">
        <f>SUMIFS(Entradas[Valores],Entradas[Cliente],M324,Entradas[Data da Competência],"&gt;="&amp;RESUMO!$C$4,Entradas[Data da Competência],"&lt;"&amp;RESUMO!$D$5,Entradas[Centro de Custos],X!$E$14,Entradas[Status],X!$E$13)</f>
        <v>0</v>
      </c>
      <c r="P324" s="277"/>
      <c r="Q324" s="105">
        <f>SUMIFS(Saidas[Valores],Saidas[Fornecedor],P324,Saidas[Data da Competência],"&gt;="&amp;RESUMO!$C$4,Saidas[Data da Competência],"&lt;"&amp;RESUMO!$D$5,Saidas[Centro de Custos],X!$E$14,Saidas[Status],X!$E$13)</f>
        <v>0</v>
      </c>
    </row>
    <row r="325">
      <c r="M325" s="277"/>
      <c r="N325" s="105">
        <f>SUMIFS(Entradas[Valores],Entradas[Cliente],M325,Entradas[Data da Competência],"&gt;="&amp;RESUMO!$C$4,Entradas[Data da Competência],"&lt;"&amp;RESUMO!$D$5,Entradas[Centro de Custos],X!$E$14,Entradas[Status],X!$E$13)</f>
        <v>0</v>
      </c>
      <c r="P325" s="277"/>
      <c r="Q325" s="105">
        <f>SUMIFS(Saidas[Valores],Saidas[Fornecedor],P325,Saidas[Data da Competência],"&gt;="&amp;RESUMO!$C$4,Saidas[Data da Competência],"&lt;"&amp;RESUMO!$D$5,Saidas[Centro de Custos],X!$E$14,Saidas[Status],X!$E$13)</f>
        <v>0</v>
      </c>
    </row>
    <row r="326">
      <c r="M326" s="277"/>
      <c r="N326" s="105">
        <f>SUMIFS(Entradas[Valores],Entradas[Cliente],M326,Entradas[Data da Competência],"&gt;="&amp;RESUMO!$C$4,Entradas[Data da Competência],"&lt;"&amp;RESUMO!$D$5,Entradas[Centro de Custos],X!$E$14,Entradas[Status],X!$E$13)</f>
        <v>0</v>
      </c>
      <c r="P326" s="277"/>
      <c r="Q326" s="105">
        <f>SUMIFS(Saidas[Valores],Saidas[Fornecedor],P326,Saidas[Data da Competência],"&gt;="&amp;RESUMO!$C$4,Saidas[Data da Competência],"&lt;"&amp;RESUMO!$D$5,Saidas[Centro de Custos],X!$E$14,Saidas[Status],X!$E$13)</f>
        <v>0</v>
      </c>
    </row>
    <row r="327">
      <c r="M327" s="277"/>
      <c r="N327" s="105">
        <f>SUMIFS(Entradas[Valores],Entradas[Cliente],M327,Entradas[Data da Competência],"&gt;="&amp;RESUMO!$C$4,Entradas[Data da Competência],"&lt;"&amp;RESUMO!$D$5,Entradas[Centro de Custos],X!$E$14,Entradas[Status],X!$E$13)</f>
        <v>0</v>
      </c>
      <c r="P327" s="277"/>
      <c r="Q327" s="105">
        <f>SUMIFS(Saidas[Valores],Saidas[Fornecedor],P327,Saidas[Data da Competência],"&gt;="&amp;RESUMO!$C$4,Saidas[Data da Competência],"&lt;"&amp;RESUMO!$D$5,Saidas[Centro de Custos],X!$E$14,Saidas[Status],X!$E$13)</f>
        <v>0</v>
      </c>
    </row>
    <row r="328">
      <c r="M328" s="277"/>
      <c r="N328" s="105">
        <f>SUMIFS(Entradas[Valores],Entradas[Cliente],M328,Entradas[Data da Competência],"&gt;="&amp;RESUMO!$C$4,Entradas[Data da Competência],"&lt;"&amp;RESUMO!$D$5,Entradas[Centro de Custos],X!$E$14,Entradas[Status],X!$E$13)</f>
        <v>0</v>
      </c>
      <c r="P328" s="277"/>
      <c r="Q328" s="105">
        <f>SUMIFS(Saidas[Valores],Saidas[Fornecedor],P328,Saidas[Data da Competência],"&gt;="&amp;RESUMO!$C$4,Saidas[Data da Competência],"&lt;"&amp;RESUMO!$D$5,Saidas[Centro de Custos],X!$E$14,Saidas[Status],X!$E$13)</f>
        <v>0</v>
      </c>
    </row>
    <row r="329">
      <c r="M329" s="277"/>
      <c r="N329" s="105">
        <f>SUMIFS(Entradas[Valores],Entradas[Cliente],M329,Entradas[Data da Competência],"&gt;="&amp;RESUMO!$C$4,Entradas[Data da Competência],"&lt;"&amp;RESUMO!$D$5,Entradas[Centro de Custos],X!$E$14,Entradas[Status],X!$E$13)</f>
        <v>0</v>
      </c>
      <c r="P329" s="277"/>
      <c r="Q329" s="105">
        <f>SUMIFS(Saidas[Valores],Saidas[Fornecedor],P329,Saidas[Data da Competência],"&gt;="&amp;RESUMO!$C$4,Saidas[Data da Competência],"&lt;"&amp;RESUMO!$D$5,Saidas[Centro de Custos],X!$E$14,Saidas[Status],X!$E$13)</f>
        <v>0</v>
      </c>
    </row>
    <row r="330">
      <c r="M330" s="277"/>
      <c r="N330" s="105">
        <f>SUMIFS(Entradas[Valores],Entradas[Cliente],M330,Entradas[Data da Competência],"&gt;="&amp;RESUMO!$C$4,Entradas[Data da Competência],"&lt;"&amp;RESUMO!$D$5,Entradas[Centro de Custos],X!$E$14,Entradas[Status],X!$E$13)</f>
        <v>0</v>
      </c>
      <c r="P330" s="277"/>
      <c r="Q330" s="105">
        <f>SUMIFS(Saidas[Valores],Saidas[Fornecedor],P330,Saidas[Data da Competência],"&gt;="&amp;RESUMO!$C$4,Saidas[Data da Competência],"&lt;"&amp;RESUMO!$D$5,Saidas[Centro de Custos],X!$E$14,Saidas[Status],X!$E$13)</f>
        <v>0</v>
      </c>
    </row>
    <row r="331">
      <c r="M331" s="277"/>
      <c r="N331" s="105">
        <f>SUMIFS(Entradas[Valores],Entradas[Cliente],M331,Entradas[Data da Competência],"&gt;="&amp;RESUMO!$C$4,Entradas[Data da Competência],"&lt;"&amp;RESUMO!$D$5,Entradas[Centro de Custos],X!$E$14,Entradas[Status],X!$E$13)</f>
        <v>0</v>
      </c>
      <c r="P331" s="277"/>
      <c r="Q331" s="105">
        <f>SUMIFS(Saidas[Valores],Saidas[Fornecedor],P331,Saidas[Data da Competência],"&gt;="&amp;RESUMO!$C$4,Saidas[Data da Competência],"&lt;"&amp;RESUMO!$D$5,Saidas[Centro de Custos],X!$E$14,Saidas[Status],X!$E$13)</f>
        <v>0</v>
      </c>
    </row>
    <row r="332">
      <c r="M332" s="277"/>
      <c r="N332" s="105">
        <f>SUMIFS(Entradas[Valores],Entradas[Cliente],M332,Entradas[Data da Competência],"&gt;="&amp;RESUMO!$C$4,Entradas[Data da Competência],"&lt;"&amp;RESUMO!$D$5,Entradas[Centro de Custos],X!$E$14,Entradas[Status],X!$E$13)</f>
        <v>0</v>
      </c>
      <c r="P332" s="277"/>
      <c r="Q332" s="105">
        <f>SUMIFS(Saidas[Valores],Saidas[Fornecedor],P332,Saidas[Data da Competência],"&gt;="&amp;RESUMO!$C$4,Saidas[Data da Competência],"&lt;"&amp;RESUMO!$D$5,Saidas[Centro de Custos],X!$E$14,Saidas[Status],X!$E$13)</f>
        <v>0</v>
      </c>
    </row>
    <row r="333">
      <c r="M333" s="277"/>
      <c r="N333" s="105">
        <f>SUMIFS(Entradas[Valores],Entradas[Cliente],M333,Entradas[Data da Competência],"&gt;="&amp;RESUMO!$C$4,Entradas[Data da Competência],"&lt;"&amp;RESUMO!$D$5,Entradas[Centro de Custos],X!$E$14,Entradas[Status],X!$E$13)</f>
        <v>0</v>
      </c>
      <c r="P333" s="277"/>
      <c r="Q333" s="105">
        <f>SUMIFS(Saidas[Valores],Saidas[Fornecedor],P333,Saidas[Data da Competência],"&gt;="&amp;RESUMO!$C$4,Saidas[Data da Competência],"&lt;"&amp;RESUMO!$D$5,Saidas[Centro de Custos],X!$E$14,Saidas[Status],X!$E$13)</f>
        <v>0</v>
      </c>
    </row>
    <row r="334">
      <c r="M334" s="277"/>
      <c r="N334" s="105">
        <f>SUMIFS(Entradas[Valores],Entradas[Cliente],M334,Entradas[Data da Competência],"&gt;="&amp;RESUMO!$C$4,Entradas[Data da Competência],"&lt;"&amp;RESUMO!$D$5,Entradas[Centro de Custos],X!$E$14,Entradas[Status],X!$E$13)</f>
        <v>0</v>
      </c>
      <c r="P334" s="277"/>
      <c r="Q334" s="105">
        <f>SUMIFS(Saidas[Valores],Saidas[Fornecedor],P334,Saidas[Data da Competência],"&gt;="&amp;RESUMO!$C$4,Saidas[Data da Competência],"&lt;"&amp;RESUMO!$D$5,Saidas[Centro de Custos],X!$E$14,Saidas[Status],X!$E$13)</f>
        <v>0</v>
      </c>
    </row>
    <row r="335">
      <c r="M335" s="277"/>
      <c r="N335" s="105">
        <f>SUMIFS(Entradas[Valores],Entradas[Cliente],M335,Entradas[Data da Competência],"&gt;="&amp;RESUMO!$C$4,Entradas[Data da Competência],"&lt;"&amp;RESUMO!$D$5,Entradas[Centro de Custos],X!$E$14,Entradas[Status],X!$E$13)</f>
        <v>0</v>
      </c>
      <c r="P335" s="277"/>
      <c r="Q335" s="105">
        <f>SUMIFS(Saidas[Valores],Saidas[Fornecedor],P335,Saidas[Data da Competência],"&gt;="&amp;RESUMO!$C$4,Saidas[Data da Competência],"&lt;"&amp;RESUMO!$D$5,Saidas[Centro de Custos],X!$E$14,Saidas[Status],X!$E$13)</f>
        <v>0</v>
      </c>
    </row>
    <row r="336">
      <c r="M336" s="277"/>
      <c r="N336" s="105">
        <f>SUMIFS(Entradas[Valores],Entradas[Cliente],M336,Entradas[Data da Competência],"&gt;="&amp;RESUMO!$C$4,Entradas[Data da Competência],"&lt;"&amp;RESUMO!$D$5,Entradas[Centro de Custos],X!$E$14,Entradas[Status],X!$E$13)</f>
        <v>0</v>
      </c>
      <c r="P336" s="277"/>
      <c r="Q336" s="105">
        <f>SUMIFS(Saidas[Valores],Saidas[Fornecedor],P336,Saidas[Data da Competência],"&gt;="&amp;RESUMO!$C$4,Saidas[Data da Competência],"&lt;"&amp;RESUMO!$D$5,Saidas[Centro de Custos],X!$E$14,Saidas[Status],X!$E$13)</f>
        <v>0</v>
      </c>
    </row>
    <row r="337">
      <c r="M337" s="277"/>
      <c r="N337" s="105">
        <f>SUMIFS(Entradas[Valores],Entradas[Cliente],M337,Entradas[Data da Competência],"&gt;="&amp;RESUMO!$C$4,Entradas[Data da Competência],"&lt;"&amp;RESUMO!$D$5,Entradas[Centro de Custos],X!$E$14,Entradas[Status],X!$E$13)</f>
        <v>0</v>
      </c>
      <c r="P337" s="277"/>
      <c r="Q337" s="105">
        <f>SUMIFS(Saidas[Valores],Saidas[Fornecedor],P337,Saidas[Data da Competência],"&gt;="&amp;RESUMO!$C$4,Saidas[Data da Competência],"&lt;"&amp;RESUMO!$D$5,Saidas[Centro de Custos],X!$E$14,Saidas[Status],X!$E$13)</f>
        <v>0</v>
      </c>
    </row>
    <row r="338">
      <c r="M338" s="277"/>
      <c r="N338" s="105">
        <f>SUMIFS(Entradas[Valores],Entradas[Cliente],M338,Entradas[Data da Competência],"&gt;="&amp;RESUMO!$C$4,Entradas[Data da Competência],"&lt;"&amp;RESUMO!$D$5,Entradas[Centro de Custos],X!$E$14,Entradas[Status],X!$E$13)</f>
        <v>0</v>
      </c>
      <c r="P338" s="277"/>
      <c r="Q338" s="105">
        <f>SUMIFS(Saidas[Valores],Saidas[Fornecedor],P338,Saidas[Data da Competência],"&gt;="&amp;RESUMO!$C$4,Saidas[Data da Competência],"&lt;"&amp;RESUMO!$D$5,Saidas[Centro de Custos],X!$E$14,Saidas[Status],X!$E$13)</f>
        <v>0</v>
      </c>
    </row>
    <row r="339">
      <c r="M339" s="277"/>
      <c r="N339" s="105">
        <f>SUMIFS(Entradas[Valores],Entradas[Cliente],M339,Entradas[Data da Competência],"&gt;="&amp;RESUMO!$C$4,Entradas[Data da Competência],"&lt;"&amp;RESUMO!$D$5,Entradas[Centro de Custos],X!$E$14,Entradas[Status],X!$E$13)</f>
        <v>0</v>
      </c>
      <c r="P339" s="277"/>
      <c r="Q339" s="105">
        <f>SUMIFS(Saidas[Valores],Saidas[Fornecedor],P339,Saidas[Data da Competência],"&gt;="&amp;RESUMO!$C$4,Saidas[Data da Competência],"&lt;"&amp;RESUMO!$D$5,Saidas[Centro de Custos],X!$E$14,Saidas[Status],X!$E$13)</f>
        <v>0</v>
      </c>
    </row>
    <row r="340">
      <c r="M340" s="277"/>
      <c r="N340" s="105">
        <f>SUMIFS(Entradas[Valores],Entradas[Cliente],M340,Entradas[Data da Competência],"&gt;="&amp;RESUMO!$C$4,Entradas[Data da Competência],"&lt;"&amp;RESUMO!$D$5,Entradas[Centro de Custos],X!$E$14,Entradas[Status],X!$E$13)</f>
        <v>0</v>
      </c>
      <c r="P340" s="277"/>
      <c r="Q340" s="105">
        <f>SUMIFS(Saidas[Valores],Saidas[Fornecedor],P340,Saidas[Data da Competência],"&gt;="&amp;RESUMO!$C$4,Saidas[Data da Competência],"&lt;"&amp;RESUMO!$D$5,Saidas[Centro de Custos],X!$E$14,Saidas[Status],X!$E$13)</f>
        <v>0</v>
      </c>
    </row>
    <row r="341">
      <c r="M341" s="277"/>
      <c r="N341" s="105">
        <f>SUMIFS(Entradas[Valores],Entradas[Cliente],M341,Entradas[Data da Competência],"&gt;="&amp;RESUMO!$C$4,Entradas[Data da Competência],"&lt;"&amp;RESUMO!$D$5,Entradas[Centro de Custos],X!$E$14,Entradas[Status],X!$E$13)</f>
        <v>0</v>
      </c>
      <c r="P341" s="277"/>
      <c r="Q341" s="105">
        <f>SUMIFS(Saidas[Valores],Saidas[Fornecedor],P341,Saidas[Data da Competência],"&gt;="&amp;RESUMO!$C$4,Saidas[Data da Competência],"&lt;"&amp;RESUMO!$D$5,Saidas[Centro de Custos],X!$E$14,Saidas[Status],X!$E$13)</f>
        <v>0</v>
      </c>
    </row>
    <row r="342">
      <c r="M342" s="277"/>
      <c r="N342" s="105">
        <f>SUMIFS(Entradas[Valores],Entradas[Cliente],M342,Entradas[Data da Competência],"&gt;="&amp;RESUMO!$C$4,Entradas[Data da Competência],"&lt;"&amp;RESUMO!$D$5,Entradas[Centro de Custos],X!$E$14,Entradas[Status],X!$E$13)</f>
        <v>0</v>
      </c>
      <c r="P342" s="277"/>
      <c r="Q342" s="105">
        <f>SUMIFS(Saidas[Valores],Saidas[Fornecedor],P342,Saidas[Data da Competência],"&gt;="&amp;RESUMO!$C$4,Saidas[Data da Competência],"&lt;"&amp;RESUMO!$D$5,Saidas[Centro de Custos],X!$E$14,Saidas[Status],X!$E$13)</f>
        <v>0</v>
      </c>
    </row>
    <row r="343">
      <c r="M343" s="277"/>
      <c r="N343" s="105">
        <f>SUMIFS(Entradas[Valores],Entradas[Cliente],M343,Entradas[Data da Competência],"&gt;="&amp;RESUMO!$C$4,Entradas[Data da Competência],"&lt;"&amp;RESUMO!$D$5,Entradas[Centro de Custos],X!$E$14,Entradas[Status],X!$E$13)</f>
        <v>0</v>
      </c>
      <c r="P343" s="277"/>
      <c r="Q343" s="105">
        <f>SUMIFS(Saidas[Valores],Saidas[Fornecedor],P343,Saidas[Data da Competência],"&gt;="&amp;RESUMO!$C$4,Saidas[Data da Competência],"&lt;"&amp;RESUMO!$D$5,Saidas[Centro de Custos],X!$E$14,Saidas[Status],X!$E$13)</f>
        <v>0</v>
      </c>
    </row>
    <row r="344">
      <c r="M344" s="277"/>
      <c r="N344" s="105">
        <f>SUMIFS(Entradas[Valores],Entradas[Cliente],M344,Entradas[Data da Competência],"&gt;="&amp;RESUMO!$C$4,Entradas[Data da Competência],"&lt;"&amp;RESUMO!$D$5,Entradas[Centro de Custos],X!$E$14,Entradas[Status],X!$E$13)</f>
        <v>0</v>
      </c>
      <c r="P344" s="277"/>
      <c r="Q344" s="105">
        <f>SUMIFS(Saidas[Valores],Saidas[Fornecedor],P344,Saidas[Data da Competência],"&gt;="&amp;RESUMO!$C$4,Saidas[Data da Competência],"&lt;"&amp;RESUMO!$D$5,Saidas[Centro de Custos],X!$E$14,Saidas[Status],X!$E$13)</f>
        <v>0</v>
      </c>
    </row>
    <row r="345">
      <c r="M345" s="277"/>
      <c r="N345" s="105">
        <f>SUMIFS(Entradas[Valores],Entradas[Cliente],M345,Entradas[Data da Competência],"&gt;="&amp;RESUMO!$C$4,Entradas[Data da Competência],"&lt;"&amp;RESUMO!$D$5,Entradas[Centro de Custos],X!$E$14,Entradas[Status],X!$E$13)</f>
        <v>0</v>
      </c>
      <c r="P345" s="277"/>
      <c r="Q345" s="105">
        <f>SUMIFS(Saidas[Valores],Saidas[Fornecedor],P345,Saidas[Data da Competência],"&gt;="&amp;RESUMO!$C$4,Saidas[Data da Competência],"&lt;"&amp;RESUMO!$D$5,Saidas[Centro de Custos],X!$E$14,Saidas[Status],X!$E$13)</f>
        <v>0</v>
      </c>
    </row>
    <row r="346">
      <c r="M346" s="277"/>
      <c r="N346" s="105">
        <f>SUMIFS(Entradas[Valores],Entradas[Cliente],M346,Entradas[Data da Competência],"&gt;="&amp;RESUMO!$C$4,Entradas[Data da Competência],"&lt;"&amp;RESUMO!$D$5,Entradas[Centro de Custos],X!$E$14,Entradas[Status],X!$E$13)</f>
        <v>0</v>
      </c>
      <c r="P346" s="277"/>
      <c r="Q346" s="105">
        <f>SUMIFS(Saidas[Valores],Saidas[Fornecedor],P346,Saidas[Data da Competência],"&gt;="&amp;RESUMO!$C$4,Saidas[Data da Competência],"&lt;"&amp;RESUMO!$D$5,Saidas[Centro de Custos],X!$E$14,Saidas[Status],X!$E$13)</f>
        <v>0</v>
      </c>
    </row>
    <row r="347">
      <c r="M347" s="277"/>
      <c r="N347" s="105">
        <f>SUMIFS(Entradas[Valores],Entradas[Cliente],M347,Entradas[Data da Competência],"&gt;="&amp;RESUMO!$C$4,Entradas[Data da Competência],"&lt;"&amp;RESUMO!$D$5,Entradas[Centro de Custos],X!$E$14,Entradas[Status],X!$E$13)</f>
        <v>0</v>
      </c>
      <c r="P347" s="277"/>
      <c r="Q347" s="105">
        <f>SUMIFS(Saidas[Valores],Saidas[Fornecedor],P347,Saidas[Data da Competência],"&gt;="&amp;RESUMO!$C$4,Saidas[Data da Competência],"&lt;"&amp;RESUMO!$D$5,Saidas[Centro de Custos],X!$E$14,Saidas[Status],X!$E$13)</f>
        <v>0</v>
      </c>
    </row>
    <row r="348">
      <c r="M348" s="277"/>
      <c r="N348" s="105">
        <f>SUMIFS(Entradas[Valores],Entradas[Cliente],M348,Entradas[Data da Competência],"&gt;="&amp;RESUMO!$C$4,Entradas[Data da Competência],"&lt;"&amp;RESUMO!$D$5,Entradas[Centro de Custos],X!$E$14,Entradas[Status],X!$E$13)</f>
        <v>0</v>
      </c>
      <c r="P348" s="277"/>
      <c r="Q348" s="105">
        <f>SUMIFS(Saidas[Valores],Saidas[Fornecedor],P348,Saidas[Data da Competência],"&gt;="&amp;RESUMO!$C$4,Saidas[Data da Competência],"&lt;"&amp;RESUMO!$D$5,Saidas[Centro de Custos],X!$E$14,Saidas[Status],X!$E$13)</f>
        <v>0</v>
      </c>
    </row>
    <row r="349">
      <c r="M349" s="277"/>
      <c r="N349" s="105">
        <f>SUMIFS(Entradas[Valores],Entradas[Cliente],M349,Entradas[Data da Competência],"&gt;="&amp;RESUMO!$C$4,Entradas[Data da Competência],"&lt;"&amp;RESUMO!$D$5,Entradas[Centro de Custos],X!$E$14,Entradas[Status],X!$E$13)</f>
        <v>0</v>
      </c>
      <c r="P349" s="277"/>
      <c r="Q349" s="105">
        <f>SUMIFS(Saidas[Valores],Saidas[Fornecedor],P349,Saidas[Data da Competência],"&gt;="&amp;RESUMO!$C$4,Saidas[Data da Competência],"&lt;"&amp;RESUMO!$D$5,Saidas[Centro de Custos],X!$E$14,Saidas[Status],X!$E$13)</f>
        <v>0</v>
      </c>
    </row>
    <row r="350">
      <c r="M350" s="277"/>
      <c r="N350" s="105">
        <f>SUMIFS(Entradas[Valores],Entradas[Cliente],M350,Entradas[Data da Competência],"&gt;="&amp;RESUMO!$C$4,Entradas[Data da Competência],"&lt;"&amp;RESUMO!$D$5,Entradas[Centro de Custos],X!$E$14,Entradas[Status],X!$E$13)</f>
        <v>0</v>
      </c>
      <c r="P350" s="277"/>
      <c r="Q350" s="105">
        <f>SUMIFS(Saidas[Valores],Saidas[Fornecedor],P350,Saidas[Data da Competência],"&gt;="&amp;RESUMO!$C$4,Saidas[Data da Competência],"&lt;"&amp;RESUMO!$D$5,Saidas[Centro de Custos],X!$E$14,Saidas[Status],X!$E$13)</f>
        <v>0</v>
      </c>
    </row>
    <row r="351">
      <c r="M351" s="277"/>
      <c r="N351" s="105">
        <f>SUMIFS(Entradas[Valores],Entradas[Cliente],M351,Entradas[Data da Competência],"&gt;="&amp;RESUMO!$C$4,Entradas[Data da Competência],"&lt;"&amp;RESUMO!$D$5,Entradas[Centro de Custos],X!$E$14,Entradas[Status],X!$E$13)</f>
        <v>0</v>
      </c>
      <c r="P351" s="277"/>
      <c r="Q351" s="105">
        <f>SUMIFS(Saidas[Valores],Saidas[Fornecedor],P351,Saidas[Data da Competência],"&gt;="&amp;RESUMO!$C$4,Saidas[Data da Competência],"&lt;"&amp;RESUMO!$D$5,Saidas[Centro de Custos],X!$E$14,Saidas[Status],X!$E$13)</f>
        <v>0</v>
      </c>
    </row>
    <row r="352">
      <c r="M352" s="277"/>
      <c r="N352" s="105">
        <f>SUMIFS(Entradas[Valores],Entradas[Cliente],M352,Entradas[Data da Competência],"&gt;="&amp;RESUMO!$C$4,Entradas[Data da Competência],"&lt;"&amp;RESUMO!$D$5,Entradas[Centro de Custos],X!$E$14,Entradas[Status],X!$E$13)</f>
        <v>0</v>
      </c>
      <c r="P352" s="277"/>
      <c r="Q352" s="105">
        <f>SUMIFS(Saidas[Valores],Saidas[Fornecedor],P352,Saidas[Data da Competência],"&gt;="&amp;RESUMO!$C$4,Saidas[Data da Competência],"&lt;"&amp;RESUMO!$D$5,Saidas[Centro de Custos],X!$E$14,Saidas[Status],X!$E$13)</f>
        <v>0</v>
      </c>
    </row>
    <row r="353">
      <c r="M353" s="277"/>
      <c r="N353" s="105">
        <f>SUMIFS(Entradas[Valores],Entradas[Cliente],M353,Entradas[Data da Competência],"&gt;="&amp;RESUMO!$C$4,Entradas[Data da Competência],"&lt;"&amp;RESUMO!$D$5,Entradas[Centro de Custos],X!$E$14,Entradas[Status],X!$E$13)</f>
        <v>0</v>
      </c>
      <c r="P353" s="277"/>
      <c r="Q353" s="105">
        <f>SUMIFS(Saidas[Valores],Saidas[Fornecedor],P353,Saidas[Data da Competência],"&gt;="&amp;RESUMO!$C$4,Saidas[Data da Competência],"&lt;"&amp;RESUMO!$D$5,Saidas[Centro de Custos],X!$E$14,Saidas[Status],X!$E$13)</f>
        <v>0</v>
      </c>
    </row>
    <row r="354">
      <c r="M354" s="277"/>
      <c r="N354" s="105">
        <f>SUMIFS(Entradas[Valores],Entradas[Cliente],M354,Entradas[Data da Competência],"&gt;="&amp;RESUMO!$C$4,Entradas[Data da Competência],"&lt;"&amp;RESUMO!$D$5,Entradas[Centro de Custos],X!$E$14,Entradas[Status],X!$E$13)</f>
        <v>0</v>
      </c>
      <c r="P354" s="277"/>
      <c r="Q354" s="105">
        <f>SUMIFS(Saidas[Valores],Saidas[Fornecedor],P354,Saidas[Data da Competência],"&gt;="&amp;RESUMO!$C$4,Saidas[Data da Competência],"&lt;"&amp;RESUMO!$D$5,Saidas[Centro de Custos],X!$E$14,Saidas[Status],X!$E$13)</f>
        <v>0</v>
      </c>
    </row>
    <row r="355">
      <c r="M355" s="277"/>
      <c r="N355" s="105">
        <f>SUMIFS(Entradas[Valores],Entradas[Cliente],M355,Entradas[Data da Competência],"&gt;="&amp;RESUMO!$C$4,Entradas[Data da Competência],"&lt;"&amp;RESUMO!$D$5,Entradas[Centro de Custos],X!$E$14,Entradas[Status],X!$E$13)</f>
        <v>0</v>
      </c>
      <c r="P355" s="277"/>
      <c r="Q355" s="105">
        <f>SUMIFS(Saidas[Valores],Saidas[Fornecedor],P355,Saidas[Data da Competência],"&gt;="&amp;RESUMO!$C$4,Saidas[Data da Competência],"&lt;"&amp;RESUMO!$D$5,Saidas[Centro de Custos],X!$E$14,Saidas[Status],X!$E$13)</f>
        <v>0</v>
      </c>
    </row>
    <row r="356">
      <c r="M356" s="277"/>
      <c r="N356" s="105">
        <f>SUMIFS(Entradas[Valores],Entradas[Cliente],M356,Entradas[Data da Competência],"&gt;="&amp;RESUMO!$C$4,Entradas[Data da Competência],"&lt;"&amp;RESUMO!$D$5,Entradas[Centro de Custos],X!$E$14,Entradas[Status],X!$E$13)</f>
        <v>0</v>
      </c>
      <c r="P356" s="277"/>
      <c r="Q356" s="105">
        <f>SUMIFS(Saidas[Valores],Saidas[Fornecedor],P356,Saidas[Data da Competência],"&gt;="&amp;RESUMO!$C$4,Saidas[Data da Competência],"&lt;"&amp;RESUMO!$D$5,Saidas[Centro de Custos],X!$E$14,Saidas[Status],X!$E$13)</f>
        <v>0</v>
      </c>
    </row>
    <row r="357">
      <c r="M357" s="277"/>
      <c r="N357" s="105">
        <f>SUMIFS(Entradas[Valores],Entradas[Cliente],M357,Entradas[Data da Competência],"&gt;="&amp;RESUMO!$C$4,Entradas[Data da Competência],"&lt;"&amp;RESUMO!$D$5,Entradas[Centro de Custos],X!$E$14,Entradas[Status],X!$E$13)</f>
        <v>0</v>
      </c>
      <c r="P357" s="277"/>
      <c r="Q357" s="105">
        <f>SUMIFS(Saidas[Valores],Saidas[Fornecedor],P357,Saidas[Data da Competência],"&gt;="&amp;RESUMO!$C$4,Saidas[Data da Competência],"&lt;"&amp;RESUMO!$D$5,Saidas[Centro de Custos],X!$E$14,Saidas[Status],X!$E$13)</f>
        <v>0</v>
      </c>
    </row>
    <row r="358">
      <c r="M358" s="277"/>
      <c r="N358" s="105">
        <f>SUMIFS(Entradas[Valores],Entradas[Cliente],M358,Entradas[Data da Competência],"&gt;="&amp;RESUMO!$C$4,Entradas[Data da Competência],"&lt;"&amp;RESUMO!$D$5,Entradas[Centro de Custos],X!$E$14,Entradas[Status],X!$E$13)</f>
        <v>0</v>
      </c>
      <c r="P358" s="277"/>
      <c r="Q358" s="105">
        <f>SUMIFS(Saidas[Valores],Saidas[Fornecedor],P358,Saidas[Data da Competência],"&gt;="&amp;RESUMO!$C$4,Saidas[Data da Competência],"&lt;"&amp;RESUMO!$D$5,Saidas[Centro de Custos],X!$E$14,Saidas[Status],X!$E$13)</f>
        <v>0</v>
      </c>
    </row>
    <row r="359">
      <c r="M359" s="277"/>
      <c r="N359" s="105">
        <f>SUMIFS(Entradas[Valores],Entradas[Cliente],M359,Entradas[Data da Competência],"&gt;="&amp;RESUMO!$C$4,Entradas[Data da Competência],"&lt;"&amp;RESUMO!$D$5,Entradas[Centro de Custos],X!$E$14,Entradas[Status],X!$E$13)</f>
        <v>0</v>
      </c>
      <c r="P359" s="277"/>
      <c r="Q359" s="105">
        <f>SUMIFS(Saidas[Valores],Saidas[Fornecedor],P359,Saidas[Data da Competência],"&gt;="&amp;RESUMO!$C$4,Saidas[Data da Competência],"&lt;"&amp;RESUMO!$D$5,Saidas[Centro de Custos],X!$E$14,Saidas[Status],X!$E$13)</f>
        <v>0</v>
      </c>
    </row>
    <row r="360">
      <c r="M360" s="277"/>
      <c r="N360" s="105">
        <f>SUMIFS(Entradas[Valores],Entradas[Cliente],M360,Entradas[Data da Competência],"&gt;="&amp;RESUMO!$C$4,Entradas[Data da Competência],"&lt;"&amp;RESUMO!$D$5,Entradas[Centro de Custos],X!$E$14,Entradas[Status],X!$E$13)</f>
        <v>0</v>
      </c>
      <c r="P360" s="277"/>
      <c r="Q360" s="105">
        <f>SUMIFS(Saidas[Valores],Saidas[Fornecedor],P360,Saidas[Data da Competência],"&gt;="&amp;RESUMO!$C$4,Saidas[Data da Competência],"&lt;"&amp;RESUMO!$D$5,Saidas[Centro de Custos],X!$E$14,Saidas[Status],X!$E$13)</f>
        <v>0</v>
      </c>
    </row>
    <row r="361">
      <c r="M361" s="277"/>
      <c r="N361" s="105">
        <f>SUMIFS(Entradas[Valores],Entradas[Cliente],M361,Entradas[Data da Competência],"&gt;="&amp;RESUMO!$C$4,Entradas[Data da Competência],"&lt;"&amp;RESUMO!$D$5,Entradas[Centro de Custos],X!$E$14,Entradas[Status],X!$E$13)</f>
        <v>0</v>
      </c>
      <c r="P361" s="277"/>
      <c r="Q361" s="105">
        <f>SUMIFS(Saidas[Valores],Saidas[Fornecedor],P361,Saidas[Data da Competência],"&gt;="&amp;RESUMO!$C$4,Saidas[Data da Competência],"&lt;"&amp;RESUMO!$D$5,Saidas[Centro de Custos],X!$E$14,Saidas[Status],X!$E$13)</f>
        <v>0</v>
      </c>
    </row>
    <row r="362">
      <c r="M362" s="277"/>
      <c r="N362" s="105">
        <f>SUMIFS(Entradas[Valores],Entradas[Cliente],M362,Entradas[Data da Competência],"&gt;="&amp;RESUMO!$C$4,Entradas[Data da Competência],"&lt;"&amp;RESUMO!$D$5,Entradas[Centro de Custos],X!$E$14,Entradas[Status],X!$E$13)</f>
        <v>0</v>
      </c>
      <c r="P362" s="277"/>
      <c r="Q362" s="105">
        <f>SUMIFS(Saidas[Valores],Saidas[Fornecedor],P362,Saidas[Data da Competência],"&gt;="&amp;RESUMO!$C$4,Saidas[Data da Competência],"&lt;"&amp;RESUMO!$D$5,Saidas[Centro de Custos],X!$E$14,Saidas[Status],X!$E$13)</f>
        <v>0</v>
      </c>
    </row>
    <row r="363">
      <c r="M363" s="277"/>
      <c r="N363" s="105">
        <f>SUMIFS(Entradas[Valores],Entradas[Cliente],M363,Entradas[Data da Competência],"&gt;="&amp;RESUMO!$C$4,Entradas[Data da Competência],"&lt;"&amp;RESUMO!$D$5,Entradas[Centro de Custos],X!$E$14,Entradas[Status],X!$E$13)</f>
        <v>0</v>
      </c>
      <c r="P363" s="277"/>
      <c r="Q363" s="105">
        <f>SUMIFS(Saidas[Valores],Saidas[Fornecedor],P363,Saidas[Data da Competência],"&gt;="&amp;RESUMO!$C$4,Saidas[Data da Competência],"&lt;"&amp;RESUMO!$D$5,Saidas[Centro de Custos],X!$E$14,Saidas[Status],X!$E$13)</f>
        <v>0</v>
      </c>
    </row>
    <row r="364">
      <c r="M364" s="277"/>
      <c r="N364" s="105">
        <f>SUMIFS(Entradas[Valores],Entradas[Cliente],M364,Entradas[Data da Competência],"&gt;="&amp;RESUMO!$C$4,Entradas[Data da Competência],"&lt;"&amp;RESUMO!$D$5,Entradas[Centro de Custos],X!$E$14,Entradas[Status],X!$E$13)</f>
        <v>0</v>
      </c>
      <c r="P364" s="277"/>
      <c r="Q364" s="105">
        <f>SUMIFS(Saidas[Valores],Saidas[Fornecedor],P364,Saidas[Data da Competência],"&gt;="&amp;RESUMO!$C$4,Saidas[Data da Competência],"&lt;"&amp;RESUMO!$D$5,Saidas[Centro de Custos],X!$E$14,Saidas[Status],X!$E$13)</f>
        <v>0</v>
      </c>
    </row>
    <row r="365">
      <c r="M365" s="277"/>
      <c r="N365" s="105">
        <f>SUMIFS(Entradas[Valores],Entradas[Cliente],M365,Entradas[Data da Competência],"&gt;="&amp;RESUMO!$C$4,Entradas[Data da Competência],"&lt;"&amp;RESUMO!$D$5,Entradas[Centro de Custos],X!$E$14,Entradas[Status],X!$E$13)</f>
        <v>0</v>
      </c>
      <c r="P365" s="277"/>
      <c r="Q365" s="105">
        <f>SUMIFS(Saidas[Valores],Saidas[Fornecedor],P365,Saidas[Data da Competência],"&gt;="&amp;RESUMO!$C$4,Saidas[Data da Competência],"&lt;"&amp;RESUMO!$D$5,Saidas[Centro de Custos],X!$E$14,Saidas[Status],X!$E$13)</f>
        <v>0</v>
      </c>
    </row>
    <row r="366">
      <c r="M366" s="277"/>
      <c r="N366" s="105">
        <f>SUMIFS(Entradas[Valores],Entradas[Cliente],M366,Entradas[Data da Competência],"&gt;="&amp;RESUMO!$C$4,Entradas[Data da Competência],"&lt;"&amp;RESUMO!$D$5,Entradas[Centro de Custos],X!$E$14,Entradas[Status],X!$E$13)</f>
        <v>0</v>
      </c>
      <c r="P366" s="277"/>
      <c r="Q366" s="105">
        <f>SUMIFS(Saidas[Valores],Saidas[Fornecedor],P366,Saidas[Data da Competência],"&gt;="&amp;RESUMO!$C$4,Saidas[Data da Competência],"&lt;"&amp;RESUMO!$D$5,Saidas[Centro de Custos],X!$E$14,Saidas[Status],X!$E$13)</f>
        <v>0</v>
      </c>
    </row>
    <row r="367">
      <c r="M367" s="277"/>
      <c r="N367" s="105">
        <f>SUMIFS(Entradas[Valores],Entradas[Cliente],M367,Entradas[Data da Competência],"&gt;="&amp;RESUMO!$C$4,Entradas[Data da Competência],"&lt;"&amp;RESUMO!$D$5,Entradas[Centro de Custos],X!$E$14,Entradas[Status],X!$E$13)</f>
        <v>0</v>
      </c>
      <c r="P367" s="277"/>
      <c r="Q367" s="105">
        <f>SUMIFS(Saidas[Valores],Saidas[Fornecedor],P367,Saidas[Data da Competência],"&gt;="&amp;RESUMO!$C$4,Saidas[Data da Competência],"&lt;"&amp;RESUMO!$D$5,Saidas[Centro de Custos],X!$E$14,Saidas[Status],X!$E$13)</f>
        <v>0</v>
      </c>
    </row>
    <row r="368">
      <c r="M368" s="277"/>
      <c r="N368" s="105">
        <f>SUMIFS(Entradas[Valores],Entradas[Cliente],M368,Entradas[Data da Competência],"&gt;="&amp;RESUMO!$C$4,Entradas[Data da Competência],"&lt;"&amp;RESUMO!$D$5,Entradas[Centro de Custos],X!$E$14,Entradas[Status],X!$E$13)</f>
        <v>0</v>
      </c>
      <c r="P368" s="277"/>
      <c r="Q368" s="105">
        <f>SUMIFS(Saidas[Valores],Saidas[Fornecedor],P368,Saidas[Data da Competência],"&gt;="&amp;RESUMO!$C$4,Saidas[Data da Competência],"&lt;"&amp;RESUMO!$D$5,Saidas[Centro de Custos],X!$E$14,Saidas[Status],X!$E$13)</f>
        <v>0</v>
      </c>
    </row>
    <row r="369">
      <c r="M369" s="277"/>
      <c r="N369" s="105">
        <f>SUMIFS(Entradas[Valores],Entradas[Cliente],M369,Entradas[Data da Competência],"&gt;="&amp;RESUMO!$C$4,Entradas[Data da Competência],"&lt;"&amp;RESUMO!$D$5,Entradas[Centro de Custos],X!$E$14,Entradas[Status],X!$E$13)</f>
        <v>0</v>
      </c>
      <c r="P369" s="277"/>
      <c r="Q369" s="105">
        <f>SUMIFS(Saidas[Valores],Saidas[Fornecedor],P369,Saidas[Data da Competência],"&gt;="&amp;RESUMO!$C$4,Saidas[Data da Competência],"&lt;"&amp;RESUMO!$D$5,Saidas[Centro de Custos],X!$E$14,Saidas[Status],X!$E$13)</f>
        <v>0</v>
      </c>
    </row>
    <row r="370">
      <c r="M370" s="277"/>
      <c r="N370" s="105">
        <f>SUMIFS(Entradas[Valores],Entradas[Cliente],M370,Entradas[Data da Competência],"&gt;="&amp;RESUMO!$C$4,Entradas[Data da Competência],"&lt;"&amp;RESUMO!$D$5,Entradas[Centro de Custos],X!$E$14,Entradas[Status],X!$E$13)</f>
        <v>0</v>
      </c>
      <c r="P370" s="277"/>
      <c r="Q370" s="105">
        <f>SUMIFS(Saidas[Valores],Saidas[Fornecedor],P370,Saidas[Data da Competência],"&gt;="&amp;RESUMO!$C$4,Saidas[Data da Competência],"&lt;"&amp;RESUMO!$D$5,Saidas[Centro de Custos],X!$E$14,Saidas[Status],X!$E$13)</f>
        <v>0</v>
      </c>
    </row>
    <row r="371">
      <c r="M371" s="277"/>
      <c r="N371" s="105">
        <f>SUMIFS(Entradas[Valores],Entradas[Cliente],M371,Entradas[Data da Competência],"&gt;="&amp;RESUMO!$C$4,Entradas[Data da Competência],"&lt;"&amp;RESUMO!$D$5,Entradas[Centro de Custos],X!$E$14,Entradas[Status],X!$E$13)</f>
        <v>0</v>
      </c>
      <c r="P371" s="277"/>
      <c r="Q371" s="105">
        <f>SUMIFS(Saidas[Valores],Saidas[Fornecedor],P371,Saidas[Data da Competência],"&gt;="&amp;RESUMO!$C$4,Saidas[Data da Competência],"&lt;"&amp;RESUMO!$D$5,Saidas[Centro de Custos],X!$E$14,Saidas[Status],X!$E$13)</f>
        <v>0</v>
      </c>
    </row>
    <row r="372">
      <c r="M372" s="277"/>
      <c r="N372" s="105">
        <f>SUMIFS(Entradas[Valores],Entradas[Cliente],M372,Entradas[Data da Competência],"&gt;="&amp;RESUMO!$C$4,Entradas[Data da Competência],"&lt;"&amp;RESUMO!$D$5,Entradas[Centro de Custos],X!$E$14,Entradas[Status],X!$E$13)</f>
        <v>0</v>
      </c>
      <c r="P372" s="277"/>
      <c r="Q372" s="105">
        <f>SUMIFS(Saidas[Valores],Saidas[Fornecedor],P372,Saidas[Data da Competência],"&gt;="&amp;RESUMO!$C$4,Saidas[Data da Competência],"&lt;"&amp;RESUMO!$D$5,Saidas[Centro de Custos],X!$E$14,Saidas[Status],X!$E$13)</f>
        <v>0</v>
      </c>
    </row>
    <row r="373">
      <c r="M373" s="277"/>
      <c r="N373" s="105">
        <f>SUMIFS(Entradas[Valores],Entradas[Cliente],M373,Entradas[Data da Competência],"&gt;="&amp;RESUMO!$C$4,Entradas[Data da Competência],"&lt;"&amp;RESUMO!$D$5,Entradas[Centro de Custos],X!$E$14,Entradas[Status],X!$E$13)</f>
        <v>0</v>
      </c>
      <c r="P373" s="277"/>
      <c r="Q373" s="105">
        <f>SUMIFS(Saidas[Valores],Saidas[Fornecedor],P373,Saidas[Data da Competência],"&gt;="&amp;RESUMO!$C$4,Saidas[Data da Competência],"&lt;"&amp;RESUMO!$D$5,Saidas[Centro de Custos],X!$E$14,Saidas[Status],X!$E$13)</f>
        <v>0</v>
      </c>
    </row>
    <row r="374">
      <c r="M374" s="277"/>
      <c r="N374" s="105">
        <f>SUMIFS(Entradas[Valores],Entradas[Cliente],M374,Entradas[Data da Competência],"&gt;="&amp;RESUMO!$C$4,Entradas[Data da Competência],"&lt;"&amp;RESUMO!$D$5,Entradas[Centro de Custos],X!$E$14,Entradas[Status],X!$E$13)</f>
        <v>0</v>
      </c>
      <c r="P374" s="277"/>
      <c r="Q374" s="105">
        <f>SUMIFS(Saidas[Valores],Saidas[Fornecedor],P374,Saidas[Data da Competência],"&gt;="&amp;RESUMO!$C$4,Saidas[Data da Competência],"&lt;"&amp;RESUMO!$D$5,Saidas[Centro de Custos],X!$E$14,Saidas[Status],X!$E$13)</f>
        <v>0</v>
      </c>
    </row>
    <row r="375">
      <c r="M375" s="277"/>
      <c r="N375" s="105">
        <f>SUMIFS(Entradas[Valores],Entradas[Cliente],M375,Entradas[Data da Competência],"&gt;="&amp;RESUMO!$C$4,Entradas[Data da Competência],"&lt;"&amp;RESUMO!$D$5,Entradas[Centro de Custos],X!$E$14,Entradas[Status],X!$E$13)</f>
        <v>0</v>
      </c>
      <c r="P375" s="277"/>
      <c r="Q375" s="105">
        <f>SUMIFS(Saidas[Valores],Saidas[Fornecedor],P375,Saidas[Data da Competência],"&gt;="&amp;RESUMO!$C$4,Saidas[Data da Competência],"&lt;"&amp;RESUMO!$D$5,Saidas[Centro de Custos],X!$E$14,Saidas[Status],X!$E$13)</f>
        <v>0</v>
      </c>
    </row>
    <row r="376">
      <c r="M376" s="277"/>
      <c r="N376" s="105">
        <f>SUMIFS(Entradas[Valores],Entradas[Cliente],M376,Entradas[Data da Competência],"&gt;="&amp;RESUMO!$C$4,Entradas[Data da Competência],"&lt;"&amp;RESUMO!$D$5,Entradas[Centro de Custos],X!$E$14,Entradas[Status],X!$E$13)</f>
        <v>0</v>
      </c>
      <c r="P376" s="277"/>
      <c r="Q376" s="105">
        <f>SUMIFS(Saidas[Valores],Saidas[Fornecedor],P376,Saidas[Data da Competência],"&gt;="&amp;RESUMO!$C$4,Saidas[Data da Competência],"&lt;"&amp;RESUMO!$D$5,Saidas[Centro de Custos],X!$E$14,Saidas[Status],X!$E$13)</f>
        <v>0</v>
      </c>
    </row>
    <row r="377">
      <c r="M377" s="277"/>
      <c r="N377" s="105">
        <f>SUMIFS(Entradas[Valores],Entradas[Cliente],M377,Entradas[Data da Competência],"&gt;="&amp;RESUMO!$C$4,Entradas[Data da Competência],"&lt;"&amp;RESUMO!$D$5,Entradas[Centro de Custos],X!$E$14,Entradas[Status],X!$E$13)</f>
        <v>0</v>
      </c>
      <c r="P377" s="277"/>
      <c r="Q377" s="105">
        <f>SUMIFS(Saidas[Valores],Saidas[Fornecedor],P377,Saidas[Data da Competência],"&gt;="&amp;RESUMO!$C$4,Saidas[Data da Competência],"&lt;"&amp;RESUMO!$D$5,Saidas[Centro de Custos],X!$E$14,Saidas[Status],X!$E$13)</f>
        <v>0</v>
      </c>
    </row>
    <row r="378">
      <c r="M378" s="277"/>
      <c r="N378" s="105">
        <f>SUMIFS(Entradas[Valores],Entradas[Cliente],M378,Entradas[Data da Competência],"&gt;="&amp;RESUMO!$C$4,Entradas[Data da Competência],"&lt;"&amp;RESUMO!$D$5,Entradas[Centro de Custos],X!$E$14,Entradas[Status],X!$E$13)</f>
        <v>0</v>
      </c>
      <c r="P378" s="277"/>
      <c r="Q378" s="105">
        <f>SUMIFS(Saidas[Valores],Saidas[Fornecedor],P378,Saidas[Data da Competência],"&gt;="&amp;RESUMO!$C$4,Saidas[Data da Competência],"&lt;"&amp;RESUMO!$D$5,Saidas[Centro de Custos],X!$E$14,Saidas[Status],X!$E$13)</f>
        <v>0</v>
      </c>
    </row>
    <row r="379">
      <c r="M379" s="277"/>
      <c r="N379" s="105">
        <f>SUMIFS(Entradas[Valores],Entradas[Cliente],M379,Entradas[Data da Competência],"&gt;="&amp;RESUMO!$C$4,Entradas[Data da Competência],"&lt;"&amp;RESUMO!$D$5,Entradas[Centro de Custos],X!$E$14,Entradas[Status],X!$E$13)</f>
        <v>0</v>
      </c>
      <c r="P379" s="277"/>
      <c r="Q379" s="105">
        <f>SUMIFS(Saidas[Valores],Saidas[Fornecedor],P379,Saidas[Data da Competência],"&gt;="&amp;RESUMO!$C$4,Saidas[Data da Competência],"&lt;"&amp;RESUMO!$D$5,Saidas[Centro de Custos],X!$E$14,Saidas[Status],X!$E$13)</f>
        <v>0</v>
      </c>
    </row>
    <row r="380">
      <c r="M380" s="277"/>
      <c r="N380" s="105">
        <f>SUMIFS(Entradas[Valores],Entradas[Cliente],M380,Entradas[Data da Competência],"&gt;="&amp;RESUMO!$C$4,Entradas[Data da Competência],"&lt;"&amp;RESUMO!$D$5,Entradas[Centro de Custos],X!$E$14,Entradas[Status],X!$E$13)</f>
        <v>0</v>
      </c>
      <c r="P380" s="277"/>
      <c r="Q380" s="105">
        <f>SUMIFS(Saidas[Valores],Saidas[Fornecedor],P380,Saidas[Data da Competência],"&gt;="&amp;RESUMO!$C$4,Saidas[Data da Competência],"&lt;"&amp;RESUMO!$D$5,Saidas[Centro de Custos],X!$E$14,Saidas[Status],X!$E$13)</f>
        <v>0</v>
      </c>
    </row>
    <row r="381">
      <c r="M381" s="277"/>
      <c r="N381" s="105">
        <f>SUMIFS(Entradas[Valores],Entradas[Cliente],M381,Entradas[Data da Competência],"&gt;="&amp;RESUMO!$C$4,Entradas[Data da Competência],"&lt;"&amp;RESUMO!$D$5,Entradas[Centro de Custos],X!$E$14,Entradas[Status],X!$E$13)</f>
        <v>0</v>
      </c>
      <c r="P381" s="277"/>
      <c r="Q381" s="105">
        <f>SUMIFS(Saidas[Valores],Saidas[Fornecedor],P381,Saidas[Data da Competência],"&gt;="&amp;RESUMO!$C$4,Saidas[Data da Competência],"&lt;"&amp;RESUMO!$D$5,Saidas[Centro de Custos],X!$E$14,Saidas[Status],X!$E$13)</f>
        <v>0</v>
      </c>
    </row>
    <row r="382">
      <c r="M382" s="277"/>
      <c r="N382" s="105">
        <f>SUMIFS(Entradas[Valores],Entradas[Cliente],M382,Entradas[Data da Competência],"&gt;="&amp;RESUMO!$C$4,Entradas[Data da Competência],"&lt;"&amp;RESUMO!$D$5,Entradas[Centro de Custos],X!$E$14,Entradas[Status],X!$E$13)</f>
        <v>0</v>
      </c>
      <c r="P382" s="277"/>
      <c r="Q382" s="105">
        <f>SUMIFS(Saidas[Valores],Saidas[Fornecedor],P382,Saidas[Data da Competência],"&gt;="&amp;RESUMO!$C$4,Saidas[Data da Competência],"&lt;"&amp;RESUMO!$D$5,Saidas[Centro de Custos],X!$E$14,Saidas[Status],X!$E$13)</f>
        <v>0</v>
      </c>
    </row>
    <row r="383">
      <c r="M383" s="277"/>
      <c r="N383" s="105">
        <f>SUMIFS(Entradas[Valores],Entradas[Cliente],M383,Entradas[Data da Competência],"&gt;="&amp;RESUMO!$C$4,Entradas[Data da Competência],"&lt;"&amp;RESUMO!$D$5,Entradas[Centro de Custos],X!$E$14,Entradas[Status],X!$E$13)</f>
        <v>0</v>
      </c>
      <c r="P383" s="277"/>
      <c r="Q383" s="105">
        <f>SUMIFS(Saidas[Valores],Saidas[Fornecedor],P383,Saidas[Data da Competência],"&gt;="&amp;RESUMO!$C$4,Saidas[Data da Competência],"&lt;"&amp;RESUMO!$D$5,Saidas[Centro de Custos],X!$E$14,Saidas[Status],X!$E$13)</f>
        <v>0</v>
      </c>
    </row>
    <row r="384">
      <c r="M384" s="277"/>
      <c r="N384" s="105">
        <f>SUMIFS(Entradas[Valores],Entradas[Cliente],M384,Entradas[Data da Competência],"&gt;="&amp;RESUMO!$C$4,Entradas[Data da Competência],"&lt;"&amp;RESUMO!$D$5,Entradas[Centro de Custos],X!$E$14,Entradas[Status],X!$E$13)</f>
        <v>0</v>
      </c>
      <c r="P384" s="277"/>
      <c r="Q384" s="105">
        <f>SUMIFS(Saidas[Valores],Saidas[Fornecedor],P384,Saidas[Data da Competência],"&gt;="&amp;RESUMO!$C$4,Saidas[Data da Competência],"&lt;"&amp;RESUMO!$D$5,Saidas[Centro de Custos],X!$E$14,Saidas[Status],X!$E$13)</f>
        <v>0</v>
      </c>
    </row>
    <row r="385">
      <c r="M385" s="277"/>
      <c r="N385" s="105">
        <f>SUMIFS(Entradas[Valores],Entradas[Cliente],M385,Entradas[Data da Competência],"&gt;="&amp;RESUMO!$C$4,Entradas[Data da Competência],"&lt;"&amp;RESUMO!$D$5,Entradas[Centro de Custos],X!$E$14,Entradas[Status],X!$E$13)</f>
        <v>0</v>
      </c>
      <c r="P385" s="277"/>
      <c r="Q385" s="105">
        <f>SUMIFS(Saidas[Valores],Saidas[Fornecedor],P385,Saidas[Data da Competência],"&gt;="&amp;RESUMO!$C$4,Saidas[Data da Competência],"&lt;"&amp;RESUMO!$D$5,Saidas[Centro de Custos],X!$E$14,Saidas[Status],X!$E$13)</f>
        <v>0</v>
      </c>
    </row>
    <row r="386">
      <c r="M386" s="277"/>
      <c r="N386" s="105">
        <f>SUMIFS(Entradas[Valores],Entradas[Cliente],M386,Entradas[Data da Competência],"&gt;="&amp;RESUMO!$C$4,Entradas[Data da Competência],"&lt;"&amp;RESUMO!$D$5,Entradas[Centro de Custos],X!$E$14,Entradas[Status],X!$E$13)</f>
        <v>0</v>
      </c>
      <c r="P386" s="277"/>
      <c r="Q386" s="105">
        <f>SUMIFS(Saidas[Valores],Saidas[Fornecedor],P386,Saidas[Data da Competência],"&gt;="&amp;RESUMO!$C$4,Saidas[Data da Competência],"&lt;"&amp;RESUMO!$D$5,Saidas[Centro de Custos],X!$E$14,Saidas[Status],X!$E$13)</f>
        <v>0</v>
      </c>
    </row>
    <row r="387">
      <c r="M387" s="277"/>
      <c r="N387" s="105">
        <f>SUMIFS(Entradas[Valores],Entradas[Cliente],M387,Entradas[Data da Competência],"&gt;="&amp;RESUMO!$C$4,Entradas[Data da Competência],"&lt;"&amp;RESUMO!$D$5,Entradas[Centro de Custos],X!$E$14,Entradas[Status],X!$E$13)</f>
        <v>0</v>
      </c>
      <c r="P387" s="277"/>
      <c r="Q387" s="105">
        <f>SUMIFS(Saidas[Valores],Saidas[Fornecedor],P387,Saidas[Data da Competência],"&gt;="&amp;RESUMO!$C$4,Saidas[Data da Competência],"&lt;"&amp;RESUMO!$D$5,Saidas[Centro de Custos],X!$E$14,Saidas[Status],X!$E$13)</f>
        <v>0</v>
      </c>
    </row>
    <row r="388">
      <c r="M388" s="277"/>
      <c r="N388" s="105">
        <f>SUMIFS(Entradas[Valores],Entradas[Cliente],M388,Entradas[Data da Competência],"&gt;="&amp;RESUMO!$C$4,Entradas[Data da Competência],"&lt;"&amp;RESUMO!$D$5,Entradas[Centro de Custos],X!$E$14,Entradas[Status],X!$E$13)</f>
        <v>0</v>
      </c>
      <c r="P388" s="277"/>
      <c r="Q388" s="105">
        <f>SUMIFS(Saidas[Valores],Saidas[Fornecedor],P388,Saidas[Data da Competência],"&gt;="&amp;RESUMO!$C$4,Saidas[Data da Competência],"&lt;"&amp;RESUMO!$D$5,Saidas[Centro de Custos],X!$E$14,Saidas[Status],X!$E$13)</f>
        <v>0</v>
      </c>
    </row>
    <row r="389">
      <c r="M389" s="277"/>
      <c r="N389" s="105">
        <f>SUMIFS(Entradas[Valores],Entradas[Cliente],M389,Entradas[Data da Competência],"&gt;="&amp;RESUMO!$C$4,Entradas[Data da Competência],"&lt;"&amp;RESUMO!$D$5,Entradas[Centro de Custos],X!$E$14,Entradas[Status],X!$E$13)</f>
        <v>0</v>
      </c>
      <c r="P389" s="277"/>
      <c r="Q389" s="105">
        <f>SUMIFS(Saidas[Valores],Saidas[Fornecedor],P389,Saidas[Data da Competência],"&gt;="&amp;RESUMO!$C$4,Saidas[Data da Competência],"&lt;"&amp;RESUMO!$D$5,Saidas[Centro de Custos],X!$E$14,Saidas[Status],X!$E$13)</f>
        <v>0</v>
      </c>
    </row>
    <row r="390">
      <c r="M390" s="277"/>
      <c r="N390" s="105">
        <f>SUMIFS(Entradas[Valores],Entradas[Cliente],M390,Entradas[Data da Competência],"&gt;="&amp;RESUMO!$C$4,Entradas[Data da Competência],"&lt;"&amp;RESUMO!$D$5,Entradas[Centro de Custos],X!$E$14,Entradas[Status],X!$E$13)</f>
        <v>0</v>
      </c>
      <c r="P390" s="277"/>
      <c r="Q390" s="105">
        <f>SUMIFS(Saidas[Valores],Saidas[Fornecedor],P390,Saidas[Data da Competência],"&gt;="&amp;RESUMO!$C$4,Saidas[Data da Competência],"&lt;"&amp;RESUMO!$D$5,Saidas[Centro de Custos],X!$E$14,Saidas[Status],X!$E$13)</f>
        <v>0</v>
      </c>
    </row>
    <row r="391">
      <c r="M391" s="277"/>
      <c r="N391" s="105">
        <f>SUMIFS(Entradas[Valores],Entradas[Cliente],M391,Entradas[Data da Competência],"&gt;="&amp;RESUMO!$C$4,Entradas[Data da Competência],"&lt;"&amp;RESUMO!$D$5,Entradas[Centro de Custos],X!$E$14,Entradas[Status],X!$E$13)</f>
        <v>0</v>
      </c>
      <c r="P391" s="277"/>
      <c r="Q391" s="105">
        <f>SUMIFS(Saidas[Valores],Saidas[Fornecedor],P391,Saidas[Data da Competência],"&gt;="&amp;RESUMO!$C$4,Saidas[Data da Competência],"&lt;"&amp;RESUMO!$D$5,Saidas[Centro de Custos],X!$E$14,Saidas[Status],X!$E$13)</f>
        <v>0</v>
      </c>
    </row>
    <row r="392">
      <c r="M392" s="277"/>
      <c r="N392" s="105">
        <f>SUMIFS(Entradas[Valores],Entradas[Cliente],M392,Entradas[Data da Competência],"&gt;="&amp;RESUMO!$C$4,Entradas[Data da Competência],"&lt;"&amp;RESUMO!$D$5,Entradas[Centro de Custos],X!$E$14,Entradas[Status],X!$E$13)</f>
        <v>0</v>
      </c>
      <c r="P392" s="277"/>
      <c r="Q392" s="105">
        <f>SUMIFS(Saidas[Valores],Saidas[Fornecedor],P392,Saidas[Data da Competência],"&gt;="&amp;RESUMO!$C$4,Saidas[Data da Competência],"&lt;"&amp;RESUMO!$D$5,Saidas[Centro de Custos],X!$E$14,Saidas[Status],X!$E$13)</f>
        <v>0</v>
      </c>
    </row>
    <row r="393">
      <c r="M393" s="277"/>
      <c r="N393" s="105">
        <f>SUMIFS(Entradas[Valores],Entradas[Cliente],M393,Entradas[Data da Competência],"&gt;="&amp;RESUMO!$C$4,Entradas[Data da Competência],"&lt;"&amp;RESUMO!$D$5,Entradas[Centro de Custos],X!$E$14,Entradas[Status],X!$E$13)</f>
        <v>0</v>
      </c>
      <c r="P393" s="277"/>
      <c r="Q393" s="105">
        <f>SUMIFS(Saidas[Valores],Saidas[Fornecedor],P393,Saidas[Data da Competência],"&gt;="&amp;RESUMO!$C$4,Saidas[Data da Competência],"&lt;"&amp;RESUMO!$D$5,Saidas[Centro de Custos],X!$E$14,Saidas[Status],X!$E$13)</f>
        <v>0</v>
      </c>
    </row>
    <row r="394">
      <c r="M394" s="277"/>
      <c r="N394" s="105">
        <f>SUMIFS(Entradas[Valores],Entradas[Cliente],M394,Entradas[Data da Competência],"&gt;="&amp;RESUMO!$C$4,Entradas[Data da Competência],"&lt;"&amp;RESUMO!$D$5,Entradas[Centro de Custos],X!$E$14,Entradas[Status],X!$E$13)</f>
        <v>0</v>
      </c>
      <c r="P394" s="277"/>
      <c r="Q394" s="105">
        <f>SUMIFS(Saidas[Valores],Saidas[Fornecedor],P394,Saidas[Data da Competência],"&gt;="&amp;RESUMO!$C$4,Saidas[Data da Competência],"&lt;"&amp;RESUMO!$D$5,Saidas[Centro de Custos],X!$E$14,Saidas[Status],X!$E$13)</f>
        <v>0</v>
      </c>
    </row>
    <row r="395">
      <c r="M395" s="277"/>
      <c r="N395" s="105">
        <f>SUMIFS(Entradas[Valores],Entradas[Cliente],M395,Entradas[Data da Competência],"&gt;="&amp;RESUMO!$C$4,Entradas[Data da Competência],"&lt;"&amp;RESUMO!$D$5,Entradas[Centro de Custos],X!$E$14,Entradas[Status],X!$E$13)</f>
        <v>0</v>
      </c>
      <c r="P395" s="277"/>
      <c r="Q395" s="105">
        <f>SUMIFS(Saidas[Valores],Saidas[Fornecedor],P395,Saidas[Data da Competência],"&gt;="&amp;RESUMO!$C$4,Saidas[Data da Competência],"&lt;"&amp;RESUMO!$D$5,Saidas[Centro de Custos],X!$E$14,Saidas[Status],X!$E$13)</f>
        <v>0</v>
      </c>
    </row>
    <row r="396">
      <c r="M396" s="277"/>
      <c r="N396" s="105">
        <f>SUMIFS(Entradas[Valores],Entradas[Cliente],M396,Entradas[Data da Competência],"&gt;="&amp;RESUMO!$C$4,Entradas[Data da Competência],"&lt;"&amp;RESUMO!$D$5,Entradas[Centro de Custos],X!$E$14,Entradas[Status],X!$E$13)</f>
        <v>0</v>
      </c>
      <c r="P396" s="277"/>
      <c r="Q396" s="105">
        <f>SUMIFS(Saidas[Valores],Saidas[Fornecedor],P396,Saidas[Data da Competência],"&gt;="&amp;RESUMO!$C$4,Saidas[Data da Competência],"&lt;"&amp;RESUMO!$D$5,Saidas[Centro de Custos],X!$E$14,Saidas[Status],X!$E$13)</f>
        <v>0</v>
      </c>
    </row>
    <row r="397">
      <c r="M397" s="277"/>
      <c r="N397" s="105">
        <f>SUMIFS(Entradas[Valores],Entradas[Cliente],M397,Entradas[Data da Competência],"&gt;="&amp;RESUMO!$C$4,Entradas[Data da Competência],"&lt;"&amp;RESUMO!$D$5,Entradas[Centro de Custos],X!$E$14,Entradas[Status],X!$E$13)</f>
        <v>0</v>
      </c>
      <c r="P397" s="277"/>
      <c r="Q397" s="105">
        <f>SUMIFS(Saidas[Valores],Saidas[Fornecedor],P397,Saidas[Data da Competência],"&gt;="&amp;RESUMO!$C$4,Saidas[Data da Competência],"&lt;"&amp;RESUMO!$D$5,Saidas[Centro de Custos],X!$E$14,Saidas[Status],X!$E$13)</f>
        <v>0</v>
      </c>
    </row>
    <row r="398">
      <c r="M398" s="277"/>
      <c r="N398" s="105">
        <f>SUMIFS(Entradas[Valores],Entradas[Cliente],M398,Entradas[Data da Competência],"&gt;="&amp;RESUMO!$C$4,Entradas[Data da Competência],"&lt;"&amp;RESUMO!$D$5,Entradas[Centro de Custos],X!$E$14,Entradas[Status],X!$E$13)</f>
        <v>0</v>
      </c>
      <c r="P398" s="277"/>
      <c r="Q398" s="105">
        <f>SUMIFS(Saidas[Valores],Saidas[Fornecedor],P398,Saidas[Data da Competência],"&gt;="&amp;RESUMO!$C$4,Saidas[Data da Competência],"&lt;"&amp;RESUMO!$D$5,Saidas[Centro de Custos],X!$E$14,Saidas[Status],X!$E$13)</f>
        <v>0</v>
      </c>
    </row>
    <row r="399">
      <c r="M399" s="277"/>
      <c r="N399" s="105">
        <f>SUMIFS(Entradas[Valores],Entradas[Cliente],M399,Entradas[Data da Competência],"&gt;="&amp;RESUMO!$C$4,Entradas[Data da Competência],"&lt;"&amp;RESUMO!$D$5,Entradas[Centro de Custos],X!$E$14,Entradas[Status],X!$E$13)</f>
        <v>0</v>
      </c>
      <c r="P399" s="277"/>
      <c r="Q399" s="105">
        <f>SUMIFS(Saidas[Valores],Saidas[Fornecedor],P399,Saidas[Data da Competência],"&gt;="&amp;RESUMO!$C$4,Saidas[Data da Competência],"&lt;"&amp;RESUMO!$D$5,Saidas[Centro de Custos],X!$E$14,Saidas[Status],X!$E$13)</f>
        <v>0</v>
      </c>
    </row>
    <row r="400">
      <c r="M400" s="277"/>
      <c r="N400" s="105">
        <f>SUMIFS(Entradas[Valores],Entradas[Cliente],M400,Entradas[Data da Competência],"&gt;="&amp;RESUMO!$C$4,Entradas[Data da Competência],"&lt;"&amp;RESUMO!$D$5,Entradas[Centro de Custos],X!$E$14,Entradas[Status],X!$E$13)</f>
        <v>0</v>
      </c>
      <c r="P400" s="277"/>
      <c r="Q400" s="105">
        <f>SUMIFS(Saidas[Valores],Saidas[Fornecedor],P400,Saidas[Data da Competência],"&gt;="&amp;RESUMO!$C$4,Saidas[Data da Competência],"&lt;"&amp;RESUMO!$D$5,Saidas[Centro de Custos],X!$E$14,Saidas[Status],X!$E$13)</f>
        <v>0</v>
      </c>
    </row>
    <row r="401">
      <c r="M401" s="277"/>
      <c r="N401" s="105">
        <f>SUMIFS(Entradas[Valores],Entradas[Cliente],M401,Entradas[Data da Competência],"&gt;="&amp;RESUMO!$C$4,Entradas[Data da Competência],"&lt;"&amp;RESUMO!$D$5,Entradas[Centro de Custos],X!$E$14,Entradas[Status],X!$E$13)</f>
        <v>0</v>
      </c>
      <c r="P401" s="277"/>
      <c r="Q401" s="105">
        <f>SUMIFS(Saidas[Valores],Saidas[Fornecedor],P401,Saidas[Data da Competência],"&gt;="&amp;RESUMO!$C$4,Saidas[Data da Competência],"&lt;"&amp;RESUMO!$D$5,Saidas[Centro de Custos],X!$E$14,Saidas[Status],X!$E$13)</f>
        <v>0</v>
      </c>
    </row>
    <row r="402">
      <c r="M402" s="277"/>
      <c r="N402" s="105">
        <f>SUMIFS(Entradas[Valores],Entradas[Cliente],M402,Entradas[Data da Competência],"&gt;="&amp;RESUMO!$C$4,Entradas[Data da Competência],"&lt;"&amp;RESUMO!$D$5,Entradas[Centro de Custos],X!$E$14,Entradas[Status],X!$E$13)</f>
        <v>0</v>
      </c>
      <c r="P402" s="277"/>
      <c r="Q402" s="105">
        <f>SUMIFS(Saidas[Valores],Saidas[Fornecedor],P402,Saidas[Data da Competência],"&gt;="&amp;RESUMO!$C$4,Saidas[Data da Competência],"&lt;"&amp;RESUMO!$D$5,Saidas[Centro de Custos],X!$E$14,Saidas[Status],X!$E$13)</f>
        <v>0</v>
      </c>
    </row>
    <row r="403">
      <c r="M403" s="277"/>
      <c r="N403" s="105">
        <f>SUMIFS(Entradas[Valores],Entradas[Cliente],M403,Entradas[Data da Competência],"&gt;="&amp;RESUMO!$C$4,Entradas[Data da Competência],"&lt;"&amp;RESUMO!$D$5,Entradas[Centro de Custos],X!$E$14,Entradas[Status],X!$E$13)</f>
        <v>0</v>
      </c>
      <c r="P403" s="277"/>
      <c r="Q403" s="105">
        <f>SUMIFS(Saidas[Valores],Saidas[Fornecedor],P403,Saidas[Data da Competência],"&gt;="&amp;RESUMO!$C$4,Saidas[Data da Competência],"&lt;"&amp;RESUMO!$D$5,Saidas[Centro de Custos],X!$E$14,Saidas[Status],X!$E$13)</f>
        <v>0</v>
      </c>
    </row>
    <row r="404">
      <c r="M404" s="277"/>
      <c r="N404" s="105">
        <f>SUMIFS(Entradas[Valores],Entradas[Cliente],M404,Entradas[Data da Competência],"&gt;="&amp;RESUMO!$C$4,Entradas[Data da Competência],"&lt;"&amp;RESUMO!$D$5,Entradas[Centro de Custos],X!$E$14,Entradas[Status],X!$E$13)</f>
        <v>0</v>
      </c>
      <c r="P404" s="277"/>
      <c r="Q404" s="105">
        <f>SUMIFS(Saidas[Valores],Saidas[Fornecedor],P404,Saidas[Data da Competência],"&gt;="&amp;RESUMO!$C$4,Saidas[Data da Competência],"&lt;"&amp;RESUMO!$D$5,Saidas[Centro de Custos],X!$E$14,Saidas[Status],X!$E$13)</f>
        <v>0</v>
      </c>
    </row>
    <row r="405">
      <c r="M405" s="277"/>
      <c r="N405" s="105">
        <f>SUMIFS(Entradas[Valores],Entradas[Cliente],M405,Entradas[Data da Competência],"&gt;="&amp;RESUMO!$C$4,Entradas[Data da Competência],"&lt;"&amp;RESUMO!$D$5,Entradas[Centro de Custos],X!$E$14,Entradas[Status],X!$E$13)</f>
        <v>0</v>
      </c>
      <c r="P405" s="277"/>
      <c r="Q405" s="105">
        <f>SUMIFS(Saidas[Valores],Saidas[Fornecedor],P405,Saidas[Data da Competência],"&gt;="&amp;RESUMO!$C$4,Saidas[Data da Competência],"&lt;"&amp;RESUMO!$D$5,Saidas[Centro de Custos],X!$E$14,Saidas[Status],X!$E$13)</f>
        <v>0</v>
      </c>
    </row>
    <row r="406">
      <c r="M406" s="277"/>
      <c r="N406" s="105">
        <f>SUMIFS(Entradas[Valores],Entradas[Cliente],M406,Entradas[Data da Competência],"&gt;="&amp;RESUMO!$C$4,Entradas[Data da Competência],"&lt;"&amp;RESUMO!$D$5,Entradas[Centro de Custos],X!$E$14,Entradas[Status],X!$E$13)</f>
        <v>0</v>
      </c>
      <c r="P406" s="277"/>
      <c r="Q406" s="105">
        <f>SUMIFS(Saidas[Valores],Saidas[Fornecedor],P406,Saidas[Data da Competência],"&gt;="&amp;RESUMO!$C$4,Saidas[Data da Competência],"&lt;"&amp;RESUMO!$D$5,Saidas[Centro de Custos],X!$E$14,Saidas[Status],X!$E$13)</f>
        <v>0</v>
      </c>
    </row>
    <row r="407">
      <c r="M407" s="277"/>
      <c r="N407" s="105">
        <f>SUMIFS(Entradas[Valores],Entradas[Cliente],M407,Entradas[Data da Competência],"&gt;="&amp;RESUMO!$C$4,Entradas[Data da Competência],"&lt;"&amp;RESUMO!$D$5,Entradas[Centro de Custos],X!$E$14,Entradas[Status],X!$E$13)</f>
        <v>0</v>
      </c>
      <c r="P407" s="277"/>
      <c r="Q407" s="105">
        <f>SUMIFS(Saidas[Valores],Saidas[Fornecedor],P407,Saidas[Data da Competência],"&gt;="&amp;RESUMO!$C$4,Saidas[Data da Competência],"&lt;"&amp;RESUMO!$D$5,Saidas[Centro de Custos],X!$E$14,Saidas[Status],X!$E$13)</f>
        <v>0</v>
      </c>
    </row>
    <row r="408">
      <c r="M408" s="277"/>
      <c r="N408" s="105">
        <f>SUMIFS(Entradas[Valores],Entradas[Cliente],M408,Entradas[Data da Competência],"&gt;="&amp;RESUMO!$C$4,Entradas[Data da Competência],"&lt;"&amp;RESUMO!$D$5,Entradas[Centro de Custos],X!$E$14,Entradas[Status],X!$E$13)</f>
        <v>0</v>
      </c>
      <c r="P408" s="277"/>
      <c r="Q408" s="105">
        <f>SUMIFS(Saidas[Valores],Saidas[Fornecedor],P408,Saidas[Data da Competência],"&gt;="&amp;RESUMO!$C$4,Saidas[Data da Competência],"&lt;"&amp;RESUMO!$D$5,Saidas[Centro de Custos],X!$E$14,Saidas[Status],X!$E$13)</f>
        <v>0</v>
      </c>
    </row>
    <row r="409">
      <c r="M409" s="277"/>
      <c r="N409" s="105">
        <f>SUMIFS(Entradas[Valores],Entradas[Cliente],M409,Entradas[Data da Competência],"&gt;="&amp;RESUMO!$C$4,Entradas[Data da Competência],"&lt;"&amp;RESUMO!$D$5,Entradas[Centro de Custos],X!$E$14,Entradas[Status],X!$E$13)</f>
        <v>0</v>
      </c>
      <c r="P409" s="277"/>
      <c r="Q409" s="105">
        <f>SUMIFS(Saidas[Valores],Saidas[Fornecedor],P409,Saidas[Data da Competência],"&gt;="&amp;RESUMO!$C$4,Saidas[Data da Competência],"&lt;"&amp;RESUMO!$D$5,Saidas[Centro de Custos],X!$E$14,Saidas[Status],X!$E$13)</f>
        <v>0</v>
      </c>
    </row>
    <row r="410">
      <c r="M410" s="277"/>
      <c r="N410" s="105">
        <f>SUMIFS(Entradas[Valores],Entradas[Cliente],M410,Entradas[Data da Competência],"&gt;="&amp;RESUMO!$C$4,Entradas[Data da Competência],"&lt;"&amp;RESUMO!$D$5,Entradas[Centro de Custos],X!$E$14,Entradas[Status],X!$E$13)</f>
        <v>0</v>
      </c>
      <c r="P410" s="277"/>
      <c r="Q410" s="105">
        <f>SUMIFS(Saidas[Valores],Saidas[Fornecedor],P410,Saidas[Data da Competência],"&gt;="&amp;RESUMO!$C$4,Saidas[Data da Competência],"&lt;"&amp;RESUMO!$D$5,Saidas[Centro de Custos],X!$E$14,Saidas[Status],X!$E$13)</f>
        <v>0</v>
      </c>
    </row>
    <row r="411">
      <c r="M411" s="277"/>
      <c r="N411" s="105">
        <f>SUMIFS(Entradas[Valores],Entradas[Cliente],M411,Entradas[Data da Competência],"&gt;="&amp;RESUMO!$C$4,Entradas[Data da Competência],"&lt;"&amp;RESUMO!$D$5,Entradas[Centro de Custos],X!$E$14,Entradas[Status],X!$E$13)</f>
        <v>0</v>
      </c>
      <c r="P411" s="277"/>
      <c r="Q411" s="105">
        <f>SUMIFS(Saidas[Valores],Saidas[Fornecedor],P411,Saidas[Data da Competência],"&gt;="&amp;RESUMO!$C$4,Saidas[Data da Competência],"&lt;"&amp;RESUMO!$D$5,Saidas[Centro de Custos],X!$E$14,Saidas[Status],X!$E$13)</f>
        <v>0</v>
      </c>
    </row>
    <row r="412">
      <c r="M412" s="277"/>
      <c r="N412" s="105">
        <f>SUMIFS(Entradas[Valores],Entradas[Cliente],M412,Entradas[Data da Competência],"&gt;="&amp;RESUMO!$C$4,Entradas[Data da Competência],"&lt;"&amp;RESUMO!$D$5,Entradas[Centro de Custos],X!$E$14,Entradas[Status],X!$E$13)</f>
        <v>0</v>
      </c>
      <c r="P412" s="277"/>
      <c r="Q412" s="105">
        <f>SUMIFS(Saidas[Valores],Saidas[Fornecedor],P412,Saidas[Data da Competência],"&gt;="&amp;RESUMO!$C$4,Saidas[Data da Competência],"&lt;"&amp;RESUMO!$D$5,Saidas[Centro de Custos],X!$E$14,Saidas[Status],X!$E$13)</f>
        <v>0</v>
      </c>
    </row>
    <row r="413">
      <c r="M413" s="277"/>
      <c r="N413" s="105">
        <f>SUMIFS(Entradas[Valores],Entradas[Cliente],M413,Entradas[Data da Competência],"&gt;="&amp;RESUMO!$C$4,Entradas[Data da Competência],"&lt;"&amp;RESUMO!$D$5,Entradas[Centro de Custos],X!$E$14,Entradas[Status],X!$E$13)</f>
        <v>0</v>
      </c>
      <c r="P413" s="277"/>
      <c r="Q413" s="105">
        <f>SUMIFS(Saidas[Valores],Saidas[Fornecedor],P413,Saidas[Data da Competência],"&gt;="&amp;RESUMO!$C$4,Saidas[Data da Competência],"&lt;"&amp;RESUMO!$D$5,Saidas[Centro de Custos],X!$E$14,Saidas[Status],X!$E$13)</f>
        <v>0</v>
      </c>
    </row>
    <row r="414">
      <c r="M414" s="277"/>
      <c r="N414" s="105">
        <f>SUMIFS(Entradas[Valores],Entradas[Cliente],M414,Entradas[Data da Competência],"&gt;="&amp;RESUMO!$C$4,Entradas[Data da Competência],"&lt;"&amp;RESUMO!$D$5,Entradas[Centro de Custos],X!$E$14,Entradas[Status],X!$E$13)</f>
        <v>0</v>
      </c>
      <c r="P414" s="277"/>
      <c r="Q414" s="105">
        <f>SUMIFS(Saidas[Valores],Saidas[Fornecedor],P414,Saidas[Data da Competência],"&gt;="&amp;RESUMO!$C$4,Saidas[Data da Competência],"&lt;"&amp;RESUMO!$D$5,Saidas[Centro de Custos],X!$E$14,Saidas[Status],X!$E$13)</f>
        <v>0</v>
      </c>
    </row>
    <row r="415">
      <c r="M415" s="277"/>
      <c r="N415" s="105">
        <f>SUMIFS(Entradas[Valores],Entradas[Cliente],M415,Entradas[Data da Competência],"&gt;="&amp;RESUMO!$C$4,Entradas[Data da Competência],"&lt;"&amp;RESUMO!$D$5,Entradas[Centro de Custos],X!$E$14,Entradas[Status],X!$E$13)</f>
        <v>0</v>
      </c>
      <c r="P415" s="277"/>
      <c r="Q415" s="105">
        <f>SUMIFS(Saidas[Valores],Saidas[Fornecedor],P415,Saidas[Data da Competência],"&gt;="&amp;RESUMO!$C$4,Saidas[Data da Competência],"&lt;"&amp;RESUMO!$D$5,Saidas[Centro de Custos],X!$E$14,Saidas[Status],X!$E$13)</f>
        <v>0</v>
      </c>
    </row>
    <row r="416">
      <c r="M416" s="277"/>
      <c r="N416" s="105">
        <f>SUMIFS(Entradas[Valores],Entradas[Cliente],M416,Entradas[Data da Competência],"&gt;="&amp;RESUMO!$C$4,Entradas[Data da Competência],"&lt;"&amp;RESUMO!$D$5,Entradas[Centro de Custos],X!$E$14,Entradas[Status],X!$E$13)</f>
        <v>0</v>
      </c>
      <c r="P416" s="277"/>
      <c r="Q416" s="105">
        <f>SUMIFS(Saidas[Valores],Saidas[Fornecedor],P416,Saidas[Data da Competência],"&gt;="&amp;RESUMO!$C$4,Saidas[Data da Competência],"&lt;"&amp;RESUMO!$D$5,Saidas[Centro de Custos],X!$E$14,Saidas[Status],X!$E$13)</f>
        <v>0</v>
      </c>
    </row>
    <row r="417">
      <c r="M417" s="277"/>
      <c r="N417" s="105">
        <f>SUMIFS(Entradas[Valores],Entradas[Cliente],M417,Entradas[Data da Competência],"&gt;="&amp;RESUMO!$C$4,Entradas[Data da Competência],"&lt;"&amp;RESUMO!$D$5,Entradas[Centro de Custos],X!$E$14,Entradas[Status],X!$E$13)</f>
        <v>0</v>
      </c>
      <c r="P417" s="277"/>
      <c r="Q417" s="105">
        <f>SUMIFS(Saidas[Valores],Saidas[Fornecedor],P417,Saidas[Data da Competência],"&gt;="&amp;RESUMO!$C$4,Saidas[Data da Competência],"&lt;"&amp;RESUMO!$D$5,Saidas[Centro de Custos],X!$E$14,Saidas[Status],X!$E$13)</f>
        <v>0</v>
      </c>
    </row>
    <row r="418">
      <c r="M418" s="277"/>
      <c r="N418" s="105">
        <f>SUMIFS(Entradas[Valores],Entradas[Cliente],M418,Entradas[Data da Competência],"&gt;="&amp;RESUMO!$C$4,Entradas[Data da Competência],"&lt;"&amp;RESUMO!$D$5,Entradas[Centro de Custos],X!$E$14,Entradas[Status],X!$E$13)</f>
        <v>0</v>
      </c>
      <c r="P418" s="277"/>
      <c r="Q418" s="105">
        <f>SUMIFS(Saidas[Valores],Saidas[Fornecedor],P418,Saidas[Data da Competência],"&gt;="&amp;RESUMO!$C$4,Saidas[Data da Competência],"&lt;"&amp;RESUMO!$D$5,Saidas[Centro de Custos],X!$E$14,Saidas[Status],X!$E$13)</f>
        <v>0</v>
      </c>
    </row>
    <row r="419">
      <c r="M419" s="277"/>
      <c r="N419" s="105">
        <f>SUMIFS(Entradas[Valores],Entradas[Cliente],M419,Entradas[Data da Competência],"&gt;="&amp;RESUMO!$C$4,Entradas[Data da Competência],"&lt;"&amp;RESUMO!$D$5,Entradas[Centro de Custos],X!$E$14,Entradas[Status],X!$E$13)</f>
        <v>0</v>
      </c>
      <c r="P419" s="277"/>
      <c r="Q419" s="105">
        <f>SUMIFS(Saidas[Valores],Saidas[Fornecedor],P419,Saidas[Data da Competência],"&gt;="&amp;RESUMO!$C$4,Saidas[Data da Competência],"&lt;"&amp;RESUMO!$D$5,Saidas[Centro de Custos],X!$E$14,Saidas[Status],X!$E$13)</f>
        <v>0</v>
      </c>
    </row>
    <row r="420">
      <c r="M420" s="277"/>
      <c r="N420" s="105">
        <f>SUMIFS(Entradas[Valores],Entradas[Cliente],M420,Entradas[Data da Competência],"&gt;="&amp;RESUMO!$C$4,Entradas[Data da Competência],"&lt;"&amp;RESUMO!$D$5,Entradas[Centro de Custos],X!$E$14,Entradas[Status],X!$E$13)</f>
        <v>0</v>
      </c>
      <c r="P420" s="277"/>
      <c r="Q420" s="105">
        <f>SUMIFS(Saidas[Valores],Saidas[Fornecedor],P420,Saidas[Data da Competência],"&gt;="&amp;RESUMO!$C$4,Saidas[Data da Competência],"&lt;"&amp;RESUMO!$D$5,Saidas[Centro de Custos],X!$E$14,Saidas[Status],X!$E$13)</f>
        <v>0</v>
      </c>
    </row>
    <row r="421">
      <c r="M421" s="277"/>
      <c r="N421" s="105">
        <f>SUMIFS(Entradas[Valores],Entradas[Cliente],M421,Entradas[Data da Competência],"&gt;="&amp;RESUMO!$C$4,Entradas[Data da Competência],"&lt;"&amp;RESUMO!$D$5,Entradas[Centro de Custos],X!$E$14,Entradas[Status],X!$E$13)</f>
        <v>0</v>
      </c>
      <c r="P421" s="277"/>
      <c r="Q421" s="105">
        <f>SUMIFS(Saidas[Valores],Saidas[Fornecedor],P421,Saidas[Data da Competência],"&gt;="&amp;RESUMO!$C$4,Saidas[Data da Competência],"&lt;"&amp;RESUMO!$D$5,Saidas[Centro de Custos],X!$E$14,Saidas[Status],X!$E$13)</f>
        <v>0</v>
      </c>
    </row>
    <row r="422">
      <c r="M422" s="277"/>
      <c r="N422" s="105">
        <f>SUMIFS(Entradas[Valores],Entradas[Cliente],M422,Entradas[Data da Competência],"&gt;="&amp;RESUMO!$C$4,Entradas[Data da Competência],"&lt;"&amp;RESUMO!$D$5,Entradas[Centro de Custos],X!$E$14,Entradas[Status],X!$E$13)</f>
        <v>0</v>
      </c>
      <c r="P422" s="277"/>
      <c r="Q422" s="105">
        <f>SUMIFS(Saidas[Valores],Saidas[Fornecedor],P422,Saidas[Data da Competência],"&gt;="&amp;RESUMO!$C$4,Saidas[Data da Competência],"&lt;"&amp;RESUMO!$D$5,Saidas[Centro de Custos],X!$E$14,Saidas[Status],X!$E$13)</f>
        <v>0</v>
      </c>
    </row>
    <row r="423">
      <c r="M423" s="277"/>
      <c r="N423" s="105">
        <f>SUMIFS(Entradas[Valores],Entradas[Cliente],M423,Entradas[Data da Competência],"&gt;="&amp;RESUMO!$C$4,Entradas[Data da Competência],"&lt;"&amp;RESUMO!$D$5,Entradas[Centro de Custos],X!$E$14,Entradas[Status],X!$E$13)</f>
        <v>0</v>
      </c>
      <c r="P423" s="277"/>
      <c r="Q423" s="105">
        <f>SUMIFS(Saidas[Valores],Saidas[Fornecedor],P423,Saidas[Data da Competência],"&gt;="&amp;RESUMO!$C$4,Saidas[Data da Competência],"&lt;"&amp;RESUMO!$D$5,Saidas[Centro de Custos],X!$E$14,Saidas[Status],X!$E$13)</f>
        <v>0</v>
      </c>
    </row>
    <row r="424">
      <c r="M424" s="277"/>
      <c r="N424" s="105">
        <f>SUMIFS(Entradas[Valores],Entradas[Cliente],M424,Entradas[Data da Competência],"&gt;="&amp;RESUMO!$C$4,Entradas[Data da Competência],"&lt;"&amp;RESUMO!$D$5,Entradas[Centro de Custos],X!$E$14,Entradas[Status],X!$E$13)</f>
        <v>0</v>
      </c>
      <c r="P424" s="277"/>
      <c r="Q424" s="105">
        <f>SUMIFS(Saidas[Valores],Saidas[Fornecedor],P424,Saidas[Data da Competência],"&gt;="&amp;RESUMO!$C$4,Saidas[Data da Competência],"&lt;"&amp;RESUMO!$D$5,Saidas[Centro de Custos],X!$E$14,Saidas[Status],X!$E$13)</f>
        <v>0</v>
      </c>
    </row>
    <row r="425">
      <c r="M425" s="277"/>
      <c r="N425" s="105">
        <f>SUMIFS(Entradas[Valores],Entradas[Cliente],M425,Entradas[Data da Competência],"&gt;="&amp;RESUMO!$C$4,Entradas[Data da Competência],"&lt;"&amp;RESUMO!$D$5,Entradas[Centro de Custos],X!$E$14,Entradas[Status],X!$E$13)</f>
        <v>0</v>
      </c>
      <c r="P425" s="277"/>
      <c r="Q425" s="105">
        <f>SUMIFS(Saidas[Valores],Saidas[Fornecedor],P425,Saidas[Data da Competência],"&gt;="&amp;RESUMO!$C$4,Saidas[Data da Competência],"&lt;"&amp;RESUMO!$D$5,Saidas[Centro de Custos],X!$E$14,Saidas[Status],X!$E$13)</f>
        <v>0</v>
      </c>
    </row>
    <row r="426">
      <c r="M426" s="277"/>
      <c r="N426" s="105">
        <f>SUMIFS(Entradas[Valores],Entradas[Cliente],M426,Entradas[Data da Competência],"&gt;="&amp;RESUMO!$C$4,Entradas[Data da Competência],"&lt;"&amp;RESUMO!$D$5,Entradas[Centro de Custos],X!$E$14,Entradas[Status],X!$E$13)</f>
        <v>0</v>
      </c>
      <c r="P426" s="277"/>
      <c r="Q426" s="105">
        <f>SUMIFS(Saidas[Valores],Saidas[Fornecedor],P426,Saidas[Data da Competência],"&gt;="&amp;RESUMO!$C$4,Saidas[Data da Competência],"&lt;"&amp;RESUMO!$D$5,Saidas[Centro de Custos],X!$E$14,Saidas[Status],X!$E$13)</f>
        <v>0</v>
      </c>
    </row>
    <row r="427">
      <c r="M427" s="277"/>
      <c r="N427" s="105">
        <f>SUMIFS(Entradas[Valores],Entradas[Cliente],M427,Entradas[Data da Competência],"&gt;="&amp;RESUMO!$C$4,Entradas[Data da Competência],"&lt;"&amp;RESUMO!$D$5,Entradas[Centro de Custos],X!$E$14,Entradas[Status],X!$E$13)</f>
        <v>0</v>
      </c>
      <c r="P427" s="277"/>
      <c r="Q427" s="105">
        <f>SUMIFS(Saidas[Valores],Saidas[Fornecedor],P427,Saidas[Data da Competência],"&gt;="&amp;RESUMO!$C$4,Saidas[Data da Competência],"&lt;"&amp;RESUMO!$D$5,Saidas[Centro de Custos],X!$E$14,Saidas[Status],X!$E$13)</f>
        <v>0</v>
      </c>
    </row>
    <row r="428">
      <c r="M428" s="277"/>
      <c r="N428" s="105">
        <f>SUMIFS(Entradas[Valores],Entradas[Cliente],M428,Entradas[Data da Competência],"&gt;="&amp;RESUMO!$C$4,Entradas[Data da Competência],"&lt;"&amp;RESUMO!$D$5,Entradas[Centro de Custos],X!$E$14,Entradas[Status],X!$E$13)</f>
        <v>0</v>
      </c>
      <c r="P428" s="277"/>
      <c r="Q428" s="105">
        <f>SUMIFS(Saidas[Valores],Saidas[Fornecedor],P428,Saidas[Data da Competência],"&gt;="&amp;RESUMO!$C$4,Saidas[Data da Competência],"&lt;"&amp;RESUMO!$D$5,Saidas[Centro de Custos],X!$E$14,Saidas[Status],X!$E$13)</f>
        <v>0</v>
      </c>
    </row>
    <row r="429">
      <c r="M429" s="277"/>
      <c r="N429" s="105">
        <f>SUMIFS(Entradas[Valores],Entradas[Cliente],M429,Entradas[Data da Competência],"&gt;="&amp;RESUMO!$C$4,Entradas[Data da Competência],"&lt;"&amp;RESUMO!$D$5,Entradas[Centro de Custos],X!$E$14,Entradas[Status],X!$E$13)</f>
        <v>0</v>
      </c>
      <c r="P429" s="277"/>
      <c r="Q429" s="105">
        <f>SUMIFS(Saidas[Valores],Saidas[Fornecedor],P429,Saidas[Data da Competência],"&gt;="&amp;RESUMO!$C$4,Saidas[Data da Competência],"&lt;"&amp;RESUMO!$D$5,Saidas[Centro de Custos],X!$E$14,Saidas[Status],X!$E$13)</f>
        <v>0</v>
      </c>
    </row>
    <row r="430">
      <c r="M430" s="277"/>
      <c r="N430" s="105">
        <f>SUMIFS(Entradas[Valores],Entradas[Cliente],M430,Entradas[Data da Competência],"&gt;="&amp;RESUMO!$C$4,Entradas[Data da Competência],"&lt;"&amp;RESUMO!$D$5,Entradas[Centro de Custos],X!$E$14,Entradas[Status],X!$E$13)</f>
        <v>0</v>
      </c>
      <c r="P430" s="277"/>
      <c r="Q430" s="105">
        <f>SUMIFS(Saidas[Valores],Saidas[Fornecedor],P430,Saidas[Data da Competência],"&gt;="&amp;RESUMO!$C$4,Saidas[Data da Competência],"&lt;"&amp;RESUMO!$D$5,Saidas[Centro de Custos],X!$E$14,Saidas[Status],X!$E$13)</f>
        <v>0</v>
      </c>
    </row>
    <row r="431">
      <c r="M431" s="277"/>
      <c r="N431" s="105">
        <f>SUMIFS(Entradas[Valores],Entradas[Cliente],M431,Entradas[Data da Competência],"&gt;="&amp;RESUMO!$C$4,Entradas[Data da Competência],"&lt;"&amp;RESUMO!$D$5,Entradas[Centro de Custos],X!$E$14,Entradas[Status],X!$E$13)</f>
        <v>0</v>
      </c>
      <c r="P431" s="277"/>
      <c r="Q431" s="105">
        <f>SUMIFS(Saidas[Valores],Saidas[Fornecedor],P431,Saidas[Data da Competência],"&gt;="&amp;RESUMO!$C$4,Saidas[Data da Competência],"&lt;"&amp;RESUMO!$D$5,Saidas[Centro de Custos],X!$E$14,Saidas[Status],X!$E$13)</f>
        <v>0</v>
      </c>
    </row>
    <row r="432">
      <c r="M432" s="277"/>
      <c r="N432" s="105">
        <f>SUMIFS(Entradas[Valores],Entradas[Cliente],M432,Entradas[Data da Competência],"&gt;="&amp;RESUMO!$C$4,Entradas[Data da Competência],"&lt;"&amp;RESUMO!$D$5,Entradas[Centro de Custos],X!$E$14,Entradas[Status],X!$E$13)</f>
        <v>0</v>
      </c>
      <c r="P432" s="277"/>
      <c r="Q432" s="105">
        <f>SUMIFS(Saidas[Valores],Saidas[Fornecedor],P432,Saidas[Data da Competência],"&gt;="&amp;RESUMO!$C$4,Saidas[Data da Competência],"&lt;"&amp;RESUMO!$D$5,Saidas[Centro de Custos],X!$E$14,Saidas[Status],X!$E$13)</f>
        <v>0</v>
      </c>
    </row>
    <row r="433">
      <c r="M433" s="277"/>
      <c r="N433" s="105">
        <f>SUMIFS(Entradas[Valores],Entradas[Cliente],M433,Entradas[Data da Competência],"&gt;="&amp;RESUMO!$C$4,Entradas[Data da Competência],"&lt;"&amp;RESUMO!$D$5,Entradas[Centro de Custos],X!$E$14,Entradas[Status],X!$E$13)</f>
        <v>0</v>
      </c>
      <c r="P433" s="277"/>
      <c r="Q433" s="105">
        <f>SUMIFS(Saidas[Valores],Saidas[Fornecedor],P433,Saidas[Data da Competência],"&gt;="&amp;RESUMO!$C$4,Saidas[Data da Competência],"&lt;"&amp;RESUMO!$D$5,Saidas[Centro de Custos],X!$E$14,Saidas[Status],X!$E$13)</f>
        <v>0</v>
      </c>
    </row>
    <row r="434">
      <c r="M434" s="277"/>
      <c r="N434" s="105">
        <f>SUMIFS(Entradas[Valores],Entradas[Cliente],M434,Entradas[Data da Competência],"&gt;="&amp;RESUMO!$C$4,Entradas[Data da Competência],"&lt;"&amp;RESUMO!$D$5,Entradas[Centro de Custos],X!$E$14,Entradas[Status],X!$E$13)</f>
        <v>0</v>
      </c>
      <c r="P434" s="277"/>
      <c r="Q434" s="105">
        <f>SUMIFS(Saidas[Valores],Saidas[Fornecedor],P434,Saidas[Data da Competência],"&gt;="&amp;RESUMO!$C$4,Saidas[Data da Competência],"&lt;"&amp;RESUMO!$D$5,Saidas[Centro de Custos],X!$E$14,Saidas[Status],X!$E$13)</f>
        <v>0</v>
      </c>
    </row>
    <row r="435">
      <c r="M435" s="277"/>
      <c r="N435" s="105">
        <f>SUMIFS(Entradas[Valores],Entradas[Cliente],M435,Entradas[Data da Competência],"&gt;="&amp;RESUMO!$C$4,Entradas[Data da Competência],"&lt;"&amp;RESUMO!$D$5,Entradas[Centro de Custos],X!$E$14,Entradas[Status],X!$E$13)</f>
        <v>0</v>
      </c>
      <c r="P435" s="277"/>
      <c r="Q435" s="105">
        <f>SUMIFS(Saidas[Valores],Saidas[Fornecedor],P435,Saidas[Data da Competência],"&gt;="&amp;RESUMO!$C$4,Saidas[Data da Competência],"&lt;"&amp;RESUMO!$D$5,Saidas[Centro de Custos],X!$E$14,Saidas[Status],X!$E$13)</f>
        <v>0</v>
      </c>
    </row>
    <row r="436">
      <c r="M436" s="277"/>
      <c r="N436" s="105">
        <f>SUMIFS(Entradas[Valores],Entradas[Cliente],M436,Entradas[Data da Competência],"&gt;="&amp;RESUMO!$C$4,Entradas[Data da Competência],"&lt;"&amp;RESUMO!$D$5,Entradas[Centro de Custos],X!$E$14,Entradas[Status],X!$E$13)</f>
        <v>0</v>
      </c>
      <c r="P436" s="277"/>
      <c r="Q436" s="105">
        <f>SUMIFS(Saidas[Valores],Saidas[Fornecedor],P436,Saidas[Data da Competência],"&gt;="&amp;RESUMO!$C$4,Saidas[Data da Competência],"&lt;"&amp;RESUMO!$D$5,Saidas[Centro de Custos],X!$E$14,Saidas[Status],X!$E$13)</f>
        <v>0</v>
      </c>
    </row>
    <row r="437">
      <c r="M437" s="277"/>
      <c r="N437" s="105">
        <f>SUMIFS(Entradas[Valores],Entradas[Cliente],M437,Entradas[Data da Competência],"&gt;="&amp;RESUMO!$C$4,Entradas[Data da Competência],"&lt;"&amp;RESUMO!$D$5,Entradas[Centro de Custos],X!$E$14,Entradas[Status],X!$E$13)</f>
        <v>0</v>
      </c>
      <c r="P437" s="277"/>
      <c r="Q437" s="105">
        <f>SUMIFS(Saidas[Valores],Saidas[Fornecedor],P437,Saidas[Data da Competência],"&gt;="&amp;RESUMO!$C$4,Saidas[Data da Competência],"&lt;"&amp;RESUMO!$D$5,Saidas[Centro de Custos],X!$E$14,Saidas[Status],X!$E$13)</f>
        <v>0</v>
      </c>
    </row>
    <row r="438">
      <c r="M438" s="277"/>
      <c r="N438" s="105">
        <f>SUMIFS(Entradas[Valores],Entradas[Cliente],M438,Entradas[Data da Competência],"&gt;="&amp;RESUMO!$C$4,Entradas[Data da Competência],"&lt;"&amp;RESUMO!$D$5,Entradas[Centro de Custos],X!$E$14,Entradas[Status],X!$E$13)</f>
        <v>0</v>
      </c>
      <c r="P438" s="277"/>
      <c r="Q438" s="105">
        <f>SUMIFS(Saidas[Valores],Saidas[Fornecedor],P438,Saidas[Data da Competência],"&gt;="&amp;RESUMO!$C$4,Saidas[Data da Competência],"&lt;"&amp;RESUMO!$D$5,Saidas[Centro de Custos],X!$E$14,Saidas[Status],X!$E$13)</f>
        <v>0</v>
      </c>
    </row>
    <row r="439">
      <c r="M439" s="277"/>
      <c r="N439" s="105">
        <f>SUMIFS(Entradas[Valores],Entradas[Cliente],M439,Entradas[Data da Competência],"&gt;="&amp;RESUMO!$C$4,Entradas[Data da Competência],"&lt;"&amp;RESUMO!$D$5,Entradas[Centro de Custos],X!$E$14,Entradas[Status],X!$E$13)</f>
        <v>0</v>
      </c>
      <c r="P439" s="277"/>
      <c r="Q439" s="105">
        <f>SUMIFS(Saidas[Valores],Saidas[Fornecedor],P439,Saidas[Data da Competência],"&gt;="&amp;RESUMO!$C$4,Saidas[Data da Competência],"&lt;"&amp;RESUMO!$D$5,Saidas[Centro de Custos],X!$E$14,Saidas[Status],X!$E$13)</f>
        <v>0</v>
      </c>
    </row>
    <row r="440">
      <c r="M440" s="277"/>
      <c r="N440" s="105">
        <f>SUMIFS(Entradas[Valores],Entradas[Cliente],M440,Entradas[Data da Competência],"&gt;="&amp;RESUMO!$C$4,Entradas[Data da Competência],"&lt;"&amp;RESUMO!$D$5,Entradas[Centro de Custos],X!$E$14,Entradas[Status],X!$E$13)</f>
        <v>0</v>
      </c>
      <c r="P440" s="277"/>
      <c r="Q440" s="105">
        <f>SUMIFS(Saidas[Valores],Saidas[Fornecedor],P440,Saidas[Data da Competência],"&gt;="&amp;RESUMO!$C$4,Saidas[Data da Competência],"&lt;"&amp;RESUMO!$D$5,Saidas[Centro de Custos],X!$E$14,Saidas[Status],X!$E$13)</f>
        <v>0</v>
      </c>
    </row>
    <row r="441">
      <c r="M441" s="277"/>
      <c r="N441" s="105">
        <f>SUMIFS(Entradas[Valores],Entradas[Cliente],M441,Entradas[Data da Competência],"&gt;="&amp;RESUMO!$C$4,Entradas[Data da Competência],"&lt;"&amp;RESUMO!$D$5,Entradas[Centro de Custos],X!$E$14,Entradas[Status],X!$E$13)</f>
        <v>0</v>
      </c>
      <c r="P441" s="277"/>
      <c r="Q441" s="105">
        <f>SUMIFS(Saidas[Valores],Saidas[Fornecedor],P441,Saidas[Data da Competência],"&gt;="&amp;RESUMO!$C$4,Saidas[Data da Competência],"&lt;"&amp;RESUMO!$D$5,Saidas[Centro de Custos],X!$E$14,Saidas[Status],X!$E$13)</f>
        <v>0</v>
      </c>
    </row>
    <row r="442">
      <c r="M442" s="277"/>
      <c r="N442" s="105">
        <f>SUMIFS(Entradas[Valores],Entradas[Cliente],M442,Entradas[Data da Competência],"&gt;="&amp;RESUMO!$C$4,Entradas[Data da Competência],"&lt;"&amp;RESUMO!$D$5,Entradas[Centro de Custos],X!$E$14,Entradas[Status],X!$E$13)</f>
        <v>0</v>
      </c>
      <c r="P442" s="277"/>
      <c r="Q442" s="105">
        <f>SUMIFS(Saidas[Valores],Saidas[Fornecedor],P442,Saidas[Data da Competência],"&gt;="&amp;RESUMO!$C$4,Saidas[Data da Competência],"&lt;"&amp;RESUMO!$D$5,Saidas[Centro de Custos],X!$E$14,Saidas[Status],X!$E$13)</f>
        <v>0</v>
      </c>
    </row>
    <row r="443">
      <c r="M443" s="277"/>
      <c r="N443" s="105">
        <f>SUMIFS(Entradas[Valores],Entradas[Cliente],M443,Entradas[Data da Competência],"&gt;="&amp;RESUMO!$C$4,Entradas[Data da Competência],"&lt;"&amp;RESUMO!$D$5,Entradas[Centro de Custos],X!$E$14,Entradas[Status],X!$E$13)</f>
        <v>0</v>
      </c>
      <c r="P443" s="277"/>
      <c r="Q443" s="105">
        <f>SUMIFS(Saidas[Valores],Saidas[Fornecedor],P443,Saidas[Data da Competência],"&gt;="&amp;RESUMO!$C$4,Saidas[Data da Competência],"&lt;"&amp;RESUMO!$D$5,Saidas[Centro de Custos],X!$E$14,Saidas[Status],X!$E$13)</f>
        <v>0</v>
      </c>
    </row>
    <row r="444">
      <c r="M444" s="277"/>
      <c r="N444" s="105">
        <f>SUMIFS(Entradas[Valores],Entradas[Cliente],M444,Entradas[Data da Competência],"&gt;="&amp;RESUMO!$C$4,Entradas[Data da Competência],"&lt;"&amp;RESUMO!$D$5,Entradas[Centro de Custos],X!$E$14,Entradas[Status],X!$E$13)</f>
        <v>0</v>
      </c>
      <c r="P444" s="277"/>
      <c r="Q444" s="105">
        <f>SUMIFS(Saidas[Valores],Saidas[Fornecedor],P444,Saidas[Data da Competência],"&gt;="&amp;RESUMO!$C$4,Saidas[Data da Competência],"&lt;"&amp;RESUMO!$D$5,Saidas[Centro de Custos],X!$E$14,Saidas[Status],X!$E$13)</f>
        <v>0</v>
      </c>
    </row>
    <row r="445">
      <c r="M445" s="277"/>
      <c r="N445" s="105">
        <f>SUMIFS(Entradas[Valores],Entradas[Cliente],M445,Entradas[Data da Competência],"&gt;="&amp;RESUMO!$C$4,Entradas[Data da Competência],"&lt;"&amp;RESUMO!$D$5,Entradas[Centro de Custos],X!$E$14,Entradas[Status],X!$E$13)</f>
        <v>0</v>
      </c>
      <c r="P445" s="277"/>
      <c r="Q445" s="105">
        <f>SUMIFS(Saidas[Valores],Saidas[Fornecedor],P445,Saidas[Data da Competência],"&gt;="&amp;RESUMO!$C$4,Saidas[Data da Competência],"&lt;"&amp;RESUMO!$D$5,Saidas[Centro de Custos],X!$E$14,Saidas[Status],X!$E$13)</f>
        <v>0</v>
      </c>
    </row>
    <row r="446">
      <c r="M446" s="277"/>
      <c r="N446" s="105">
        <f>SUMIFS(Entradas[Valores],Entradas[Cliente],M446,Entradas[Data da Competência],"&gt;="&amp;RESUMO!$C$4,Entradas[Data da Competência],"&lt;"&amp;RESUMO!$D$5,Entradas[Centro de Custos],X!$E$14,Entradas[Status],X!$E$13)</f>
        <v>0</v>
      </c>
      <c r="P446" s="277"/>
      <c r="Q446" s="105">
        <f>SUMIFS(Saidas[Valores],Saidas[Fornecedor],P446,Saidas[Data da Competência],"&gt;="&amp;RESUMO!$C$4,Saidas[Data da Competência],"&lt;"&amp;RESUMO!$D$5,Saidas[Centro de Custos],X!$E$14,Saidas[Status],X!$E$13)</f>
        <v>0</v>
      </c>
    </row>
    <row r="447">
      <c r="M447" s="277"/>
      <c r="N447" s="105">
        <f>SUMIFS(Entradas[Valores],Entradas[Cliente],M447,Entradas[Data da Competência],"&gt;="&amp;RESUMO!$C$4,Entradas[Data da Competência],"&lt;"&amp;RESUMO!$D$5,Entradas[Centro de Custos],X!$E$14,Entradas[Status],X!$E$13)</f>
        <v>0</v>
      </c>
      <c r="P447" s="277"/>
      <c r="Q447" s="105">
        <f>SUMIFS(Saidas[Valores],Saidas[Fornecedor],P447,Saidas[Data da Competência],"&gt;="&amp;RESUMO!$C$4,Saidas[Data da Competência],"&lt;"&amp;RESUMO!$D$5,Saidas[Centro de Custos],X!$E$14,Saidas[Status],X!$E$13)</f>
        <v>0</v>
      </c>
    </row>
    <row r="448">
      <c r="M448" s="277"/>
      <c r="N448" s="105">
        <f>SUMIFS(Entradas[Valores],Entradas[Cliente],M448,Entradas[Data da Competência],"&gt;="&amp;RESUMO!$C$4,Entradas[Data da Competência],"&lt;"&amp;RESUMO!$D$5,Entradas[Centro de Custos],X!$E$14,Entradas[Status],X!$E$13)</f>
        <v>0</v>
      </c>
      <c r="P448" s="277"/>
      <c r="Q448" s="105">
        <f>SUMIFS(Saidas[Valores],Saidas[Fornecedor],P448,Saidas[Data da Competência],"&gt;="&amp;RESUMO!$C$4,Saidas[Data da Competência],"&lt;"&amp;RESUMO!$D$5,Saidas[Centro de Custos],X!$E$14,Saidas[Status],X!$E$13)</f>
        <v>0</v>
      </c>
    </row>
    <row r="449">
      <c r="M449" s="277"/>
      <c r="N449" s="105">
        <f>SUMIFS(Entradas[Valores],Entradas[Cliente],M449,Entradas[Data da Competência],"&gt;="&amp;RESUMO!$C$4,Entradas[Data da Competência],"&lt;"&amp;RESUMO!$D$5,Entradas[Centro de Custos],X!$E$14,Entradas[Status],X!$E$13)</f>
        <v>0</v>
      </c>
      <c r="P449" s="277"/>
      <c r="Q449" s="105">
        <f>SUMIFS(Saidas[Valores],Saidas[Fornecedor],P449,Saidas[Data da Competência],"&gt;="&amp;RESUMO!$C$4,Saidas[Data da Competência],"&lt;"&amp;RESUMO!$D$5,Saidas[Centro de Custos],X!$E$14,Saidas[Status],X!$E$13)</f>
        <v>0</v>
      </c>
    </row>
    <row r="450">
      <c r="M450" s="277"/>
      <c r="N450" s="105">
        <f>SUMIFS(Entradas[Valores],Entradas[Cliente],M450,Entradas[Data da Competência],"&gt;="&amp;RESUMO!$C$4,Entradas[Data da Competência],"&lt;"&amp;RESUMO!$D$5,Entradas[Centro de Custos],X!$E$14,Entradas[Status],X!$E$13)</f>
        <v>0</v>
      </c>
      <c r="P450" s="277"/>
      <c r="Q450" s="105">
        <f>SUMIFS(Saidas[Valores],Saidas[Fornecedor],P450,Saidas[Data da Competência],"&gt;="&amp;RESUMO!$C$4,Saidas[Data da Competência],"&lt;"&amp;RESUMO!$D$5,Saidas[Centro de Custos],X!$E$14,Saidas[Status],X!$E$13)</f>
        <v>0</v>
      </c>
    </row>
    <row r="451">
      <c r="M451" s="277"/>
      <c r="N451" s="105">
        <f>SUMIFS(Entradas[Valores],Entradas[Cliente],M451,Entradas[Data da Competência],"&gt;="&amp;RESUMO!$C$4,Entradas[Data da Competência],"&lt;"&amp;RESUMO!$D$5,Entradas[Centro de Custos],X!$E$14,Entradas[Status],X!$E$13)</f>
        <v>0</v>
      </c>
      <c r="P451" s="277"/>
      <c r="Q451" s="105">
        <f>SUMIFS(Saidas[Valores],Saidas[Fornecedor],P451,Saidas[Data da Competência],"&gt;="&amp;RESUMO!$C$4,Saidas[Data da Competência],"&lt;"&amp;RESUMO!$D$5,Saidas[Centro de Custos],X!$E$14,Saidas[Status],X!$E$13)</f>
        <v>0</v>
      </c>
    </row>
    <row r="452">
      <c r="M452" s="277"/>
      <c r="N452" s="105">
        <f>SUMIFS(Entradas[Valores],Entradas[Cliente],M452,Entradas[Data da Competência],"&gt;="&amp;RESUMO!$C$4,Entradas[Data da Competência],"&lt;"&amp;RESUMO!$D$5,Entradas[Centro de Custos],X!$E$14,Entradas[Status],X!$E$13)</f>
        <v>0</v>
      </c>
      <c r="P452" s="277"/>
      <c r="Q452" s="105">
        <f>SUMIFS(Saidas[Valores],Saidas[Fornecedor],P452,Saidas[Data da Competência],"&gt;="&amp;RESUMO!$C$4,Saidas[Data da Competência],"&lt;"&amp;RESUMO!$D$5,Saidas[Centro de Custos],X!$E$14,Saidas[Status],X!$E$13)</f>
        <v>0</v>
      </c>
    </row>
    <row r="453">
      <c r="M453" s="277"/>
      <c r="N453" s="105">
        <f>SUMIFS(Entradas[Valores],Entradas[Cliente],M453,Entradas[Data da Competência],"&gt;="&amp;RESUMO!$C$4,Entradas[Data da Competência],"&lt;"&amp;RESUMO!$D$5,Entradas[Centro de Custos],X!$E$14,Entradas[Status],X!$E$13)</f>
        <v>0</v>
      </c>
      <c r="P453" s="277"/>
      <c r="Q453" s="105">
        <f>SUMIFS(Saidas[Valores],Saidas[Fornecedor],P453,Saidas[Data da Competência],"&gt;="&amp;RESUMO!$C$4,Saidas[Data da Competência],"&lt;"&amp;RESUMO!$D$5,Saidas[Centro de Custos],X!$E$14,Saidas[Status],X!$E$13)</f>
        <v>0</v>
      </c>
    </row>
    <row r="454">
      <c r="M454" s="277"/>
      <c r="N454" s="105">
        <f>SUMIFS(Entradas[Valores],Entradas[Cliente],M454,Entradas[Data da Competência],"&gt;="&amp;RESUMO!$C$4,Entradas[Data da Competência],"&lt;"&amp;RESUMO!$D$5,Entradas[Centro de Custos],X!$E$14,Entradas[Status],X!$E$13)</f>
        <v>0</v>
      </c>
      <c r="P454" s="277"/>
      <c r="Q454" s="105">
        <f>SUMIFS(Saidas[Valores],Saidas[Fornecedor],P454,Saidas[Data da Competência],"&gt;="&amp;RESUMO!$C$4,Saidas[Data da Competência],"&lt;"&amp;RESUMO!$D$5,Saidas[Centro de Custos],X!$E$14,Saidas[Status],X!$E$13)</f>
        <v>0</v>
      </c>
    </row>
    <row r="455">
      <c r="M455" s="277"/>
      <c r="N455" s="105">
        <f>SUMIFS(Entradas[Valores],Entradas[Cliente],M455,Entradas[Data da Competência],"&gt;="&amp;RESUMO!$C$4,Entradas[Data da Competência],"&lt;"&amp;RESUMO!$D$5,Entradas[Centro de Custos],X!$E$14,Entradas[Status],X!$E$13)</f>
        <v>0</v>
      </c>
      <c r="P455" s="277"/>
      <c r="Q455" s="105">
        <f>SUMIFS(Saidas[Valores],Saidas[Fornecedor],P455,Saidas[Data da Competência],"&gt;="&amp;RESUMO!$C$4,Saidas[Data da Competência],"&lt;"&amp;RESUMO!$D$5,Saidas[Centro de Custos],X!$E$14,Saidas[Status],X!$E$13)</f>
        <v>0</v>
      </c>
    </row>
    <row r="456">
      <c r="M456" s="277"/>
      <c r="N456" s="105">
        <f>SUMIFS(Entradas[Valores],Entradas[Cliente],M456,Entradas[Data da Competência],"&gt;="&amp;RESUMO!$C$4,Entradas[Data da Competência],"&lt;"&amp;RESUMO!$D$5,Entradas[Centro de Custos],X!$E$14,Entradas[Status],X!$E$13)</f>
        <v>0</v>
      </c>
      <c r="P456" s="277"/>
      <c r="Q456" s="105">
        <f>SUMIFS(Saidas[Valores],Saidas[Fornecedor],P456,Saidas[Data da Competência],"&gt;="&amp;RESUMO!$C$4,Saidas[Data da Competência],"&lt;"&amp;RESUMO!$D$5,Saidas[Centro de Custos],X!$E$14,Saidas[Status],X!$E$13)</f>
        <v>0</v>
      </c>
    </row>
    <row r="457">
      <c r="M457" s="277"/>
      <c r="N457" s="105">
        <f>SUMIFS(Entradas[Valores],Entradas[Cliente],M457,Entradas[Data da Competência],"&gt;="&amp;RESUMO!$C$4,Entradas[Data da Competência],"&lt;"&amp;RESUMO!$D$5,Entradas[Centro de Custos],X!$E$14,Entradas[Status],X!$E$13)</f>
        <v>0</v>
      </c>
      <c r="P457" s="277"/>
      <c r="Q457" s="105">
        <f>SUMIFS(Saidas[Valores],Saidas[Fornecedor],P457,Saidas[Data da Competência],"&gt;="&amp;RESUMO!$C$4,Saidas[Data da Competência],"&lt;"&amp;RESUMO!$D$5,Saidas[Centro de Custos],X!$E$14,Saidas[Status],X!$E$13)</f>
        <v>0</v>
      </c>
    </row>
    <row r="458">
      <c r="M458" s="277"/>
      <c r="N458" s="105">
        <f>SUMIFS(Entradas[Valores],Entradas[Cliente],M458,Entradas[Data da Competência],"&gt;="&amp;RESUMO!$C$4,Entradas[Data da Competência],"&lt;"&amp;RESUMO!$D$5,Entradas[Centro de Custos],X!$E$14,Entradas[Status],X!$E$13)</f>
        <v>0</v>
      </c>
      <c r="P458" s="277"/>
      <c r="Q458" s="105">
        <f>SUMIFS(Saidas[Valores],Saidas[Fornecedor],P458,Saidas[Data da Competência],"&gt;="&amp;RESUMO!$C$4,Saidas[Data da Competência],"&lt;"&amp;RESUMO!$D$5,Saidas[Centro de Custos],X!$E$14,Saidas[Status],X!$E$13)</f>
        <v>0</v>
      </c>
    </row>
    <row r="459">
      <c r="M459" s="277"/>
      <c r="N459" s="105">
        <f>SUMIFS(Entradas[Valores],Entradas[Cliente],M459,Entradas[Data da Competência],"&gt;="&amp;RESUMO!$C$4,Entradas[Data da Competência],"&lt;"&amp;RESUMO!$D$5,Entradas[Centro de Custos],X!$E$14,Entradas[Status],X!$E$13)</f>
        <v>0</v>
      </c>
      <c r="P459" s="277"/>
      <c r="Q459" s="105">
        <f>SUMIFS(Saidas[Valores],Saidas[Fornecedor],P459,Saidas[Data da Competência],"&gt;="&amp;RESUMO!$C$4,Saidas[Data da Competência],"&lt;"&amp;RESUMO!$D$5,Saidas[Centro de Custos],X!$E$14,Saidas[Status],X!$E$13)</f>
        <v>0</v>
      </c>
    </row>
    <row r="460">
      <c r="M460" s="277"/>
      <c r="N460" s="105">
        <f>SUMIFS(Entradas[Valores],Entradas[Cliente],M460,Entradas[Data da Competência],"&gt;="&amp;RESUMO!$C$4,Entradas[Data da Competência],"&lt;"&amp;RESUMO!$D$5,Entradas[Centro de Custos],X!$E$14,Entradas[Status],X!$E$13)</f>
        <v>0</v>
      </c>
      <c r="P460" s="277"/>
      <c r="Q460" s="105">
        <f>SUMIFS(Saidas[Valores],Saidas[Fornecedor],P460,Saidas[Data da Competência],"&gt;="&amp;RESUMO!$C$4,Saidas[Data da Competência],"&lt;"&amp;RESUMO!$D$5,Saidas[Centro de Custos],X!$E$14,Saidas[Status],X!$E$13)</f>
        <v>0</v>
      </c>
    </row>
    <row r="461">
      <c r="M461" s="277"/>
      <c r="N461" s="105">
        <f>SUMIFS(Entradas[Valores],Entradas[Cliente],M461,Entradas[Data da Competência],"&gt;="&amp;RESUMO!$C$4,Entradas[Data da Competência],"&lt;"&amp;RESUMO!$D$5,Entradas[Centro de Custos],X!$E$14,Entradas[Status],X!$E$13)</f>
        <v>0</v>
      </c>
      <c r="P461" s="277"/>
      <c r="Q461" s="105">
        <f>SUMIFS(Saidas[Valores],Saidas[Fornecedor],P461,Saidas[Data da Competência],"&gt;="&amp;RESUMO!$C$4,Saidas[Data da Competência],"&lt;"&amp;RESUMO!$D$5,Saidas[Centro de Custos],X!$E$14,Saidas[Status],X!$E$13)</f>
        <v>0</v>
      </c>
    </row>
    <row r="462">
      <c r="M462" s="277"/>
      <c r="N462" s="105">
        <f>SUMIFS(Entradas[Valores],Entradas[Cliente],M462,Entradas[Data da Competência],"&gt;="&amp;RESUMO!$C$4,Entradas[Data da Competência],"&lt;"&amp;RESUMO!$D$5,Entradas[Centro de Custos],X!$E$14,Entradas[Status],X!$E$13)</f>
        <v>0</v>
      </c>
      <c r="P462" s="277"/>
      <c r="Q462" s="105">
        <f>SUMIFS(Saidas[Valores],Saidas[Fornecedor],P462,Saidas[Data da Competência],"&gt;="&amp;RESUMO!$C$4,Saidas[Data da Competência],"&lt;"&amp;RESUMO!$D$5,Saidas[Centro de Custos],X!$E$14,Saidas[Status],X!$E$13)</f>
        <v>0</v>
      </c>
    </row>
    <row r="463">
      <c r="M463" s="277"/>
      <c r="N463" s="105">
        <f>SUMIFS(Entradas[Valores],Entradas[Cliente],M463,Entradas[Data da Competência],"&gt;="&amp;RESUMO!$C$4,Entradas[Data da Competência],"&lt;"&amp;RESUMO!$D$5,Entradas[Centro de Custos],X!$E$14,Entradas[Status],X!$E$13)</f>
        <v>0</v>
      </c>
      <c r="P463" s="277"/>
      <c r="Q463" s="105">
        <f>SUMIFS(Saidas[Valores],Saidas[Fornecedor],P463,Saidas[Data da Competência],"&gt;="&amp;RESUMO!$C$4,Saidas[Data da Competência],"&lt;"&amp;RESUMO!$D$5,Saidas[Centro de Custos],X!$E$14,Saidas[Status],X!$E$13)</f>
        <v>0</v>
      </c>
    </row>
    <row r="464">
      <c r="M464" s="277"/>
      <c r="N464" s="105">
        <f>SUMIFS(Entradas[Valores],Entradas[Cliente],M464,Entradas[Data da Competência],"&gt;="&amp;RESUMO!$C$4,Entradas[Data da Competência],"&lt;"&amp;RESUMO!$D$5,Entradas[Centro de Custos],X!$E$14,Entradas[Status],X!$E$13)</f>
        <v>0</v>
      </c>
      <c r="P464" s="277"/>
      <c r="Q464" s="105">
        <f>SUMIFS(Saidas[Valores],Saidas[Fornecedor],P464,Saidas[Data da Competência],"&gt;="&amp;RESUMO!$C$4,Saidas[Data da Competência],"&lt;"&amp;RESUMO!$D$5,Saidas[Centro de Custos],X!$E$14,Saidas[Status],X!$E$13)</f>
        <v>0</v>
      </c>
    </row>
    <row r="465">
      <c r="M465" s="277"/>
      <c r="N465" s="105">
        <f>SUMIFS(Entradas[Valores],Entradas[Cliente],M465,Entradas[Data da Competência],"&gt;="&amp;RESUMO!$C$4,Entradas[Data da Competência],"&lt;"&amp;RESUMO!$D$5,Entradas[Centro de Custos],X!$E$14,Entradas[Status],X!$E$13)</f>
        <v>0</v>
      </c>
      <c r="P465" s="277"/>
      <c r="Q465" s="105">
        <f>SUMIFS(Saidas[Valores],Saidas[Fornecedor],P465,Saidas[Data da Competência],"&gt;="&amp;RESUMO!$C$4,Saidas[Data da Competência],"&lt;"&amp;RESUMO!$D$5,Saidas[Centro de Custos],X!$E$14,Saidas[Status],X!$E$13)</f>
        <v>0</v>
      </c>
    </row>
    <row r="466">
      <c r="M466" s="277"/>
      <c r="N466" s="105">
        <f>SUMIFS(Entradas[Valores],Entradas[Cliente],M466,Entradas[Data da Competência],"&gt;="&amp;RESUMO!$C$4,Entradas[Data da Competência],"&lt;"&amp;RESUMO!$D$5,Entradas[Centro de Custos],X!$E$14,Entradas[Status],X!$E$13)</f>
        <v>0</v>
      </c>
      <c r="P466" s="277"/>
      <c r="Q466" s="105">
        <f>SUMIFS(Saidas[Valores],Saidas[Fornecedor],P466,Saidas[Data da Competência],"&gt;="&amp;RESUMO!$C$4,Saidas[Data da Competência],"&lt;"&amp;RESUMO!$D$5,Saidas[Centro de Custos],X!$E$14,Saidas[Status],X!$E$13)</f>
        <v>0</v>
      </c>
    </row>
    <row r="467">
      <c r="M467" s="277"/>
      <c r="N467" s="105">
        <f>SUMIFS(Entradas[Valores],Entradas[Cliente],M467,Entradas[Data da Competência],"&gt;="&amp;RESUMO!$C$4,Entradas[Data da Competência],"&lt;"&amp;RESUMO!$D$5,Entradas[Centro de Custos],X!$E$14,Entradas[Status],X!$E$13)</f>
        <v>0</v>
      </c>
      <c r="P467" s="277"/>
      <c r="Q467" s="105">
        <f>SUMIFS(Saidas[Valores],Saidas[Fornecedor],P467,Saidas[Data da Competência],"&gt;="&amp;RESUMO!$C$4,Saidas[Data da Competência],"&lt;"&amp;RESUMO!$D$5,Saidas[Centro de Custos],X!$E$14,Saidas[Status],X!$E$13)</f>
        <v>0</v>
      </c>
    </row>
    <row r="468">
      <c r="M468" s="277"/>
      <c r="N468" s="105">
        <f>SUMIFS(Entradas[Valores],Entradas[Cliente],M468,Entradas[Data da Competência],"&gt;="&amp;RESUMO!$C$4,Entradas[Data da Competência],"&lt;"&amp;RESUMO!$D$5,Entradas[Centro de Custos],X!$E$14,Entradas[Status],X!$E$13)</f>
        <v>0</v>
      </c>
      <c r="P468" s="277"/>
      <c r="Q468" s="105">
        <f>SUMIFS(Saidas[Valores],Saidas[Fornecedor],P468,Saidas[Data da Competência],"&gt;="&amp;RESUMO!$C$4,Saidas[Data da Competência],"&lt;"&amp;RESUMO!$D$5,Saidas[Centro de Custos],X!$E$14,Saidas[Status],X!$E$13)</f>
        <v>0</v>
      </c>
    </row>
    <row r="469">
      <c r="M469" s="277"/>
      <c r="N469" s="105">
        <f>SUMIFS(Entradas[Valores],Entradas[Cliente],M469,Entradas[Data da Competência],"&gt;="&amp;RESUMO!$C$4,Entradas[Data da Competência],"&lt;"&amp;RESUMO!$D$5,Entradas[Centro de Custos],X!$E$14,Entradas[Status],X!$E$13)</f>
        <v>0</v>
      </c>
      <c r="P469" s="277"/>
      <c r="Q469" s="105">
        <f>SUMIFS(Saidas[Valores],Saidas[Fornecedor],P469,Saidas[Data da Competência],"&gt;="&amp;RESUMO!$C$4,Saidas[Data da Competência],"&lt;"&amp;RESUMO!$D$5,Saidas[Centro de Custos],X!$E$14,Saidas[Status],X!$E$13)</f>
        <v>0</v>
      </c>
    </row>
    <row r="470">
      <c r="M470" s="277"/>
      <c r="N470" s="105">
        <f>SUMIFS(Entradas[Valores],Entradas[Cliente],M470,Entradas[Data da Competência],"&gt;="&amp;RESUMO!$C$4,Entradas[Data da Competência],"&lt;"&amp;RESUMO!$D$5,Entradas[Centro de Custos],X!$E$14,Entradas[Status],X!$E$13)</f>
        <v>0</v>
      </c>
      <c r="P470" s="277"/>
      <c r="Q470" s="105">
        <f>SUMIFS(Saidas[Valores],Saidas[Fornecedor],P470,Saidas[Data da Competência],"&gt;="&amp;RESUMO!$C$4,Saidas[Data da Competência],"&lt;"&amp;RESUMO!$D$5,Saidas[Centro de Custos],X!$E$14,Saidas[Status],X!$E$13)</f>
        <v>0</v>
      </c>
    </row>
    <row r="471">
      <c r="M471" s="277"/>
      <c r="N471" s="105">
        <f>SUMIFS(Entradas[Valores],Entradas[Cliente],M471,Entradas[Data da Competência],"&gt;="&amp;RESUMO!$C$4,Entradas[Data da Competência],"&lt;"&amp;RESUMO!$D$5,Entradas[Centro de Custos],X!$E$14,Entradas[Status],X!$E$13)</f>
        <v>0</v>
      </c>
      <c r="P471" s="277"/>
      <c r="Q471" s="105">
        <f>SUMIFS(Saidas[Valores],Saidas[Fornecedor],P471,Saidas[Data da Competência],"&gt;="&amp;RESUMO!$C$4,Saidas[Data da Competência],"&lt;"&amp;RESUMO!$D$5,Saidas[Centro de Custos],X!$E$14,Saidas[Status],X!$E$13)</f>
        <v>0</v>
      </c>
    </row>
    <row r="472">
      <c r="M472" s="277"/>
      <c r="N472" s="105">
        <f>SUMIFS(Entradas[Valores],Entradas[Cliente],M472,Entradas[Data da Competência],"&gt;="&amp;RESUMO!$C$4,Entradas[Data da Competência],"&lt;"&amp;RESUMO!$D$5,Entradas[Centro de Custos],X!$E$14,Entradas[Status],X!$E$13)</f>
        <v>0</v>
      </c>
      <c r="P472" s="277"/>
      <c r="Q472" s="105">
        <f>SUMIFS(Saidas[Valores],Saidas[Fornecedor],P472,Saidas[Data da Competência],"&gt;="&amp;RESUMO!$C$4,Saidas[Data da Competência],"&lt;"&amp;RESUMO!$D$5,Saidas[Centro de Custos],X!$E$14,Saidas[Status],X!$E$13)</f>
        <v>0</v>
      </c>
    </row>
    <row r="473">
      <c r="M473" s="277"/>
      <c r="N473" s="105">
        <f>SUMIFS(Entradas[Valores],Entradas[Cliente],M473,Entradas[Data da Competência],"&gt;="&amp;RESUMO!$C$4,Entradas[Data da Competência],"&lt;"&amp;RESUMO!$D$5,Entradas[Centro de Custos],X!$E$14,Entradas[Status],X!$E$13)</f>
        <v>0</v>
      </c>
      <c r="P473" s="277"/>
      <c r="Q473" s="105">
        <f>SUMIFS(Saidas[Valores],Saidas[Fornecedor],P473,Saidas[Data da Competência],"&gt;="&amp;RESUMO!$C$4,Saidas[Data da Competência],"&lt;"&amp;RESUMO!$D$5,Saidas[Centro de Custos],X!$E$14,Saidas[Status],X!$E$13)</f>
        <v>0</v>
      </c>
    </row>
    <row r="474">
      <c r="M474" s="277"/>
      <c r="N474" s="105">
        <f>SUMIFS(Entradas[Valores],Entradas[Cliente],M474,Entradas[Data da Competência],"&gt;="&amp;RESUMO!$C$4,Entradas[Data da Competência],"&lt;"&amp;RESUMO!$D$5,Entradas[Centro de Custos],X!$E$14,Entradas[Status],X!$E$13)</f>
        <v>0</v>
      </c>
      <c r="P474" s="277"/>
      <c r="Q474" s="105">
        <f>SUMIFS(Saidas[Valores],Saidas[Fornecedor],P474,Saidas[Data da Competência],"&gt;="&amp;RESUMO!$C$4,Saidas[Data da Competência],"&lt;"&amp;RESUMO!$D$5,Saidas[Centro de Custos],X!$E$14,Saidas[Status],X!$E$13)</f>
        <v>0</v>
      </c>
    </row>
    <row r="475">
      <c r="M475" s="277"/>
      <c r="N475" s="105">
        <f>SUMIFS(Entradas[Valores],Entradas[Cliente],M475,Entradas[Data da Competência],"&gt;="&amp;RESUMO!$C$4,Entradas[Data da Competência],"&lt;"&amp;RESUMO!$D$5,Entradas[Centro de Custos],X!$E$14,Entradas[Status],X!$E$13)</f>
        <v>0</v>
      </c>
      <c r="P475" s="277"/>
      <c r="Q475" s="105">
        <f>SUMIFS(Saidas[Valores],Saidas[Fornecedor],P475,Saidas[Data da Competência],"&gt;="&amp;RESUMO!$C$4,Saidas[Data da Competência],"&lt;"&amp;RESUMO!$D$5,Saidas[Centro de Custos],X!$E$14,Saidas[Status],X!$E$13)</f>
        <v>0</v>
      </c>
    </row>
    <row r="476">
      <c r="M476" s="277"/>
      <c r="N476" s="105">
        <f>SUMIFS(Entradas[Valores],Entradas[Cliente],M476,Entradas[Data da Competência],"&gt;="&amp;RESUMO!$C$4,Entradas[Data da Competência],"&lt;"&amp;RESUMO!$D$5,Entradas[Centro de Custos],X!$E$14,Entradas[Status],X!$E$13)</f>
        <v>0</v>
      </c>
      <c r="P476" s="277"/>
      <c r="Q476" s="105">
        <f>SUMIFS(Saidas[Valores],Saidas[Fornecedor],P476,Saidas[Data da Competência],"&gt;="&amp;RESUMO!$C$4,Saidas[Data da Competência],"&lt;"&amp;RESUMO!$D$5,Saidas[Centro de Custos],X!$E$14,Saidas[Status],X!$E$13)</f>
        <v>0</v>
      </c>
    </row>
    <row r="477">
      <c r="M477" s="277"/>
      <c r="N477" s="105">
        <f>SUMIFS(Entradas[Valores],Entradas[Cliente],M477,Entradas[Data da Competência],"&gt;="&amp;RESUMO!$C$4,Entradas[Data da Competência],"&lt;"&amp;RESUMO!$D$5,Entradas[Centro de Custos],X!$E$14,Entradas[Status],X!$E$13)</f>
        <v>0</v>
      </c>
      <c r="P477" s="277"/>
      <c r="Q477" s="105">
        <f>SUMIFS(Saidas[Valores],Saidas[Fornecedor],P477,Saidas[Data da Competência],"&gt;="&amp;RESUMO!$C$4,Saidas[Data da Competência],"&lt;"&amp;RESUMO!$D$5,Saidas[Centro de Custos],X!$E$14,Saidas[Status],X!$E$13)</f>
        <v>0</v>
      </c>
    </row>
    <row r="478">
      <c r="M478" s="277"/>
      <c r="N478" s="105">
        <f>SUMIFS(Entradas[Valores],Entradas[Cliente],M478,Entradas[Data da Competência],"&gt;="&amp;RESUMO!$C$4,Entradas[Data da Competência],"&lt;"&amp;RESUMO!$D$5,Entradas[Centro de Custos],X!$E$14,Entradas[Status],X!$E$13)</f>
        <v>0</v>
      </c>
      <c r="P478" s="277"/>
      <c r="Q478" s="105">
        <f>SUMIFS(Saidas[Valores],Saidas[Fornecedor],P478,Saidas[Data da Competência],"&gt;="&amp;RESUMO!$C$4,Saidas[Data da Competência],"&lt;"&amp;RESUMO!$D$5,Saidas[Centro de Custos],X!$E$14,Saidas[Status],X!$E$13)</f>
        <v>0</v>
      </c>
    </row>
    <row r="479">
      <c r="M479" s="277"/>
      <c r="N479" s="105">
        <f>SUMIFS(Entradas[Valores],Entradas[Cliente],M479,Entradas[Data da Competência],"&gt;="&amp;RESUMO!$C$4,Entradas[Data da Competência],"&lt;"&amp;RESUMO!$D$5,Entradas[Centro de Custos],X!$E$14,Entradas[Status],X!$E$13)</f>
        <v>0</v>
      </c>
      <c r="P479" s="277"/>
      <c r="Q479" s="105">
        <f>SUMIFS(Saidas[Valores],Saidas[Fornecedor],P479,Saidas[Data da Competência],"&gt;="&amp;RESUMO!$C$4,Saidas[Data da Competência],"&lt;"&amp;RESUMO!$D$5,Saidas[Centro de Custos],X!$E$14,Saidas[Status],X!$E$13)</f>
        <v>0</v>
      </c>
    </row>
    <row r="480">
      <c r="M480" s="277"/>
      <c r="N480" s="105">
        <f>SUMIFS(Entradas[Valores],Entradas[Cliente],M480,Entradas[Data da Competência],"&gt;="&amp;RESUMO!$C$4,Entradas[Data da Competência],"&lt;"&amp;RESUMO!$D$5,Entradas[Centro de Custos],X!$E$14,Entradas[Status],X!$E$13)</f>
        <v>0</v>
      </c>
      <c r="P480" s="277"/>
      <c r="Q480" s="105">
        <f>SUMIFS(Saidas[Valores],Saidas[Fornecedor],P480,Saidas[Data da Competência],"&gt;="&amp;RESUMO!$C$4,Saidas[Data da Competência],"&lt;"&amp;RESUMO!$D$5,Saidas[Centro de Custos],X!$E$14,Saidas[Status],X!$E$13)</f>
        <v>0</v>
      </c>
    </row>
    <row r="481">
      <c r="M481" s="277"/>
      <c r="N481" s="105">
        <f>SUMIFS(Entradas[Valores],Entradas[Cliente],M481,Entradas[Data da Competência],"&gt;="&amp;RESUMO!$C$4,Entradas[Data da Competência],"&lt;"&amp;RESUMO!$D$5,Entradas[Centro de Custos],X!$E$14,Entradas[Status],X!$E$13)</f>
        <v>0</v>
      </c>
      <c r="P481" s="277"/>
      <c r="Q481" s="105">
        <f>SUMIFS(Saidas[Valores],Saidas[Fornecedor],P481,Saidas[Data da Competência],"&gt;="&amp;RESUMO!$C$4,Saidas[Data da Competência],"&lt;"&amp;RESUMO!$D$5,Saidas[Centro de Custos],X!$E$14,Saidas[Status],X!$E$13)</f>
        <v>0</v>
      </c>
    </row>
    <row r="482">
      <c r="M482" s="277"/>
      <c r="N482" s="105">
        <f>SUMIFS(Entradas[Valores],Entradas[Cliente],M482,Entradas[Data da Competência],"&gt;="&amp;RESUMO!$C$4,Entradas[Data da Competência],"&lt;"&amp;RESUMO!$D$5,Entradas[Centro de Custos],X!$E$14,Entradas[Status],X!$E$13)</f>
        <v>0</v>
      </c>
      <c r="P482" s="277"/>
      <c r="Q482" s="105">
        <f>SUMIFS(Saidas[Valores],Saidas[Fornecedor],P482,Saidas[Data da Competência],"&gt;="&amp;RESUMO!$C$4,Saidas[Data da Competência],"&lt;"&amp;RESUMO!$D$5,Saidas[Centro de Custos],X!$E$14,Saidas[Status],X!$E$13)</f>
        <v>0</v>
      </c>
    </row>
    <row r="483">
      <c r="M483" s="277"/>
      <c r="N483" s="105">
        <f>SUMIFS(Entradas[Valores],Entradas[Cliente],M483,Entradas[Data da Competência],"&gt;="&amp;RESUMO!$C$4,Entradas[Data da Competência],"&lt;"&amp;RESUMO!$D$5,Entradas[Centro de Custos],X!$E$14,Entradas[Status],X!$E$13)</f>
        <v>0</v>
      </c>
      <c r="P483" s="277"/>
      <c r="Q483" s="105">
        <f>SUMIFS(Saidas[Valores],Saidas[Fornecedor],P483,Saidas[Data da Competência],"&gt;="&amp;RESUMO!$C$4,Saidas[Data da Competência],"&lt;"&amp;RESUMO!$D$5,Saidas[Centro de Custos],X!$E$14,Saidas[Status],X!$E$13)</f>
        <v>0</v>
      </c>
    </row>
    <row r="484">
      <c r="M484" s="277"/>
      <c r="N484" s="105">
        <f>SUMIFS(Entradas[Valores],Entradas[Cliente],M484,Entradas[Data da Competência],"&gt;="&amp;RESUMO!$C$4,Entradas[Data da Competência],"&lt;"&amp;RESUMO!$D$5,Entradas[Centro de Custos],X!$E$14,Entradas[Status],X!$E$13)</f>
        <v>0</v>
      </c>
      <c r="P484" s="277"/>
      <c r="Q484" s="105">
        <f>SUMIFS(Saidas[Valores],Saidas[Fornecedor],P484,Saidas[Data da Competência],"&gt;="&amp;RESUMO!$C$4,Saidas[Data da Competência],"&lt;"&amp;RESUMO!$D$5,Saidas[Centro de Custos],X!$E$14,Saidas[Status],X!$E$13)</f>
        <v>0</v>
      </c>
    </row>
    <row r="485">
      <c r="M485" s="277"/>
      <c r="N485" s="105">
        <f>SUMIFS(Entradas[Valores],Entradas[Cliente],M485,Entradas[Data da Competência],"&gt;="&amp;RESUMO!$C$4,Entradas[Data da Competência],"&lt;"&amp;RESUMO!$D$5,Entradas[Centro de Custos],X!$E$14,Entradas[Status],X!$E$13)</f>
        <v>0</v>
      </c>
      <c r="P485" s="277"/>
      <c r="Q485" s="105">
        <f>SUMIFS(Saidas[Valores],Saidas[Fornecedor],P485,Saidas[Data da Competência],"&gt;="&amp;RESUMO!$C$4,Saidas[Data da Competência],"&lt;"&amp;RESUMO!$D$5,Saidas[Centro de Custos],X!$E$14,Saidas[Status],X!$E$13)</f>
        <v>0</v>
      </c>
    </row>
    <row r="486">
      <c r="M486" s="277"/>
      <c r="N486" s="105">
        <f>SUMIFS(Entradas[Valores],Entradas[Cliente],M486,Entradas[Data da Competência],"&gt;="&amp;RESUMO!$C$4,Entradas[Data da Competência],"&lt;"&amp;RESUMO!$D$5,Entradas[Centro de Custos],X!$E$14,Entradas[Status],X!$E$13)</f>
        <v>0</v>
      </c>
      <c r="P486" s="277"/>
      <c r="Q486" s="105">
        <f>SUMIFS(Saidas[Valores],Saidas[Fornecedor],P486,Saidas[Data da Competência],"&gt;="&amp;RESUMO!$C$4,Saidas[Data da Competência],"&lt;"&amp;RESUMO!$D$5,Saidas[Centro de Custos],X!$E$14,Saidas[Status],X!$E$13)</f>
        <v>0</v>
      </c>
    </row>
    <row r="487">
      <c r="M487" s="277"/>
      <c r="N487" s="105">
        <f>SUMIFS(Entradas[Valores],Entradas[Cliente],M487,Entradas[Data da Competência],"&gt;="&amp;RESUMO!$C$4,Entradas[Data da Competência],"&lt;"&amp;RESUMO!$D$5,Entradas[Centro de Custos],X!$E$14,Entradas[Status],X!$E$13)</f>
        <v>0</v>
      </c>
      <c r="P487" s="277"/>
      <c r="Q487" s="105">
        <f>SUMIFS(Saidas[Valores],Saidas[Fornecedor],P487,Saidas[Data da Competência],"&gt;="&amp;RESUMO!$C$4,Saidas[Data da Competência],"&lt;"&amp;RESUMO!$D$5,Saidas[Centro de Custos],X!$E$14,Saidas[Status],X!$E$13)</f>
        <v>0</v>
      </c>
    </row>
    <row r="488">
      <c r="M488" s="277"/>
      <c r="N488" s="105">
        <f>SUMIFS(Entradas[Valores],Entradas[Cliente],M488,Entradas[Data da Competência],"&gt;="&amp;RESUMO!$C$4,Entradas[Data da Competência],"&lt;"&amp;RESUMO!$D$5,Entradas[Centro de Custos],X!$E$14,Entradas[Status],X!$E$13)</f>
        <v>0</v>
      </c>
      <c r="P488" s="277"/>
      <c r="Q488" s="105">
        <f>SUMIFS(Saidas[Valores],Saidas[Fornecedor],P488,Saidas[Data da Competência],"&gt;="&amp;RESUMO!$C$4,Saidas[Data da Competência],"&lt;"&amp;RESUMO!$D$5,Saidas[Centro de Custos],X!$E$14,Saidas[Status],X!$E$13)</f>
        <v>0</v>
      </c>
    </row>
    <row r="489">
      <c r="M489" s="277"/>
      <c r="N489" s="105">
        <f>SUMIFS(Entradas[Valores],Entradas[Cliente],M489,Entradas[Data da Competência],"&gt;="&amp;RESUMO!$C$4,Entradas[Data da Competência],"&lt;"&amp;RESUMO!$D$5,Entradas[Centro de Custos],X!$E$14,Entradas[Status],X!$E$13)</f>
        <v>0</v>
      </c>
      <c r="P489" s="277"/>
      <c r="Q489" s="105">
        <f>SUMIFS(Saidas[Valores],Saidas[Fornecedor],P489,Saidas[Data da Competência],"&gt;="&amp;RESUMO!$C$4,Saidas[Data da Competência],"&lt;"&amp;RESUMO!$D$5,Saidas[Centro de Custos],X!$E$14,Saidas[Status],X!$E$13)</f>
        <v>0</v>
      </c>
    </row>
    <row r="490">
      <c r="M490" s="277"/>
      <c r="N490" s="105">
        <f>SUMIFS(Entradas[Valores],Entradas[Cliente],M490,Entradas[Data da Competência],"&gt;="&amp;RESUMO!$C$4,Entradas[Data da Competência],"&lt;"&amp;RESUMO!$D$5,Entradas[Centro de Custos],X!$E$14,Entradas[Status],X!$E$13)</f>
        <v>0</v>
      </c>
      <c r="P490" s="277"/>
      <c r="Q490" s="105">
        <f>SUMIFS(Saidas[Valores],Saidas[Fornecedor],P490,Saidas[Data da Competência],"&gt;="&amp;RESUMO!$C$4,Saidas[Data da Competência],"&lt;"&amp;RESUMO!$D$5,Saidas[Centro de Custos],X!$E$14,Saidas[Status],X!$E$13)</f>
        <v>0</v>
      </c>
    </row>
    <row r="491">
      <c r="M491" s="277"/>
      <c r="N491" s="105">
        <f>SUMIFS(Entradas[Valores],Entradas[Cliente],M491,Entradas[Data da Competência],"&gt;="&amp;RESUMO!$C$4,Entradas[Data da Competência],"&lt;"&amp;RESUMO!$D$5,Entradas[Centro de Custos],X!$E$14,Entradas[Status],X!$E$13)</f>
        <v>0</v>
      </c>
      <c r="P491" s="277"/>
      <c r="Q491" s="105">
        <f>SUMIFS(Saidas[Valores],Saidas[Fornecedor],P491,Saidas[Data da Competência],"&gt;="&amp;RESUMO!$C$4,Saidas[Data da Competência],"&lt;"&amp;RESUMO!$D$5,Saidas[Centro de Custos],X!$E$14,Saidas[Status],X!$E$13)</f>
        <v>0</v>
      </c>
    </row>
    <row r="492">
      <c r="M492" s="277"/>
      <c r="N492" s="105">
        <f>SUMIFS(Entradas[Valores],Entradas[Cliente],M492,Entradas[Data da Competência],"&gt;="&amp;RESUMO!$C$4,Entradas[Data da Competência],"&lt;"&amp;RESUMO!$D$5,Entradas[Centro de Custos],X!$E$14,Entradas[Status],X!$E$13)</f>
        <v>0</v>
      </c>
      <c r="P492" s="277"/>
      <c r="Q492" s="105">
        <f>SUMIFS(Saidas[Valores],Saidas[Fornecedor],P492,Saidas[Data da Competência],"&gt;="&amp;RESUMO!$C$4,Saidas[Data da Competência],"&lt;"&amp;RESUMO!$D$5,Saidas[Centro de Custos],X!$E$14,Saidas[Status],X!$E$13)</f>
        <v>0</v>
      </c>
    </row>
    <row r="493">
      <c r="M493" s="277"/>
      <c r="N493" s="105">
        <f>SUMIFS(Entradas[Valores],Entradas[Cliente],M493,Entradas[Data da Competência],"&gt;="&amp;RESUMO!$C$4,Entradas[Data da Competência],"&lt;"&amp;RESUMO!$D$5,Entradas[Centro de Custos],X!$E$14,Entradas[Status],X!$E$13)</f>
        <v>0</v>
      </c>
      <c r="P493" s="277"/>
      <c r="Q493" s="105">
        <f>SUMIFS(Saidas[Valores],Saidas[Fornecedor],P493,Saidas[Data da Competência],"&gt;="&amp;RESUMO!$C$4,Saidas[Data da Competência],"&lt;"&amp;RESUMO!$D$5,Saidas[Centro de Custos],X!$E$14,Saidas[Status],X!$E$13)</f>
        <v>0</v>
      </c>
    </row>
    <row r="494">
      <c r="M494" s="277"/>
      <c r="N494" s="105">
        <f>SUMIFS(Entradas[Valores],Entradas[Cliente],M494,Entradas[Data da Competência],"&gt;="&amp;RESUMO!$C$4,Entradas[Data da Competência],"&lt;"&amp;RESUMO!$D$5,Entradas[Centro de Custos],X!$E$14,Entradas[Status],X!$E$13)</f>
        <v>0</v>
      </c>
      <c r="P494" s="277"/>
      <c r="Q494" s="105">
        <f>SUMIFS(Saidas[Valores],Saidas[Fornecedor],P494,Saidas[Data da Competência],"&gt;="&amp;RESUMO!$C$4,Saidas[Data da Competência],"&lt;"&amp;RESUMO!$D$5,Saidas[Centro de Custos],X!$E$14,Saidas[Status],X!$E$13)</f>
        <v>0</v>
      </c>
    </row>
    <row r="495">
      <c r="M495" s="277"/>
      <c r="N495" s="105">
        <f>SUMIFS(Entradas[Valores],Entradas[Cliente],M495,Entradas[Data da Competência],"&gt;="&amp;RESUMO!$C$4,Entradas[Data da Competência],"&lt;"&amp;RESUMO!$D$5,Entradas[Centro de Custos],X!$E$14,Entradas[Status],X!$E$13)</f>
        <v>0</v>
      </c>
      <c r="P495" s="277"/>
      <c r="Q495" s="105">
        <f>SUMIFS(Saidas[Valores],Saidas[Fornecedor],P495,Saidas[Data da Competência],"&gt;="&amp;RESUMO!$C$4,Saidas[Data da Competência],"&lt;"&amp;RESUMO!$D$5,Saidas[Centro de Custos],X!$E$14,Saidas[Status],X!$E$13)</f>
        <v>0</v>
      </c>
    </row>
    <row r="496">
      <c r="M496" s="277"/>
      <c r="N496" s="105">
        <f>SUMIFS(Entradas[Valores],Entradas[Cliente],M496,Entradas[Data da Competência],"&gt;="&amp;RESUMO!$C$4,Entradas[Data da Competência],"&lt;"&amp;RESUMO!$D$5,Entradas[Centro de Custos],X!$E$14,Entradas[Status],X!$E$13)</f>
        <v>0</v>
      </c>
      <c r="P496" s="277"/>
      <c r="Q496" s="105">
        <f>SUMIFS(Saidas[Valores],Saidas[Fornecedor],P496,Saidas[Data da Competência],"&gt;="&amp;RESUMO!$C$4,Saidas[Data da Competência],"&lt;"&amp;RESUMO!$D$5,Saidas[Centro de Custos],X!$E$14,Saidas[Status],X!$E$13)</f>
        <v>0</v>
      </c>
    </row>
    <row r="497">
      <c r="M497" s="277"/>
      <c r="N497" s="105">
        <f>SUMIFS(Entradas[Valores],Entradas[Cliente],M497,Entradas[Data da Competência],"&gt;="&amp;RESUMO!$C$4,Entradas[Data da Competência],"&lt;"&amp;RESUMO!$D$5,Entradas[Centro de Custos],X!$E$14,Entradas[Status],X!$E$13)</f>
        <v>0</v>
      </c>
      <c r="P497" s="277"/>
      <c r="Q497" s="105">
        <f>SUMIFS(Saidas[Valores],Saidas[Fornecedor],P497,Saidas[Data da Competência],"&gt;="&amp;RESUMO!$C$4,Saidas[Data da Competência],"&lt;"&amp;RESUMO!$D$5,Saidas[Centro de Custos],X!$E$14,Saidas[Status],X!$E$13)</f>
        <v>0</v>
      </c>
    </row>
    <row r="498">
      <c r="M498" s="277"/>
      <c r="N498" s="105">
        <f>SUMIFS(Entradas[Valores],Entradas[Cliente],M498,Entradas[Data da Competência],"&gt;="&amp;RESUMO!$C$4,Entradas[Data da Competência],"&lt;"&amp;RESUMO!$D$5,Entradas[Centro de Custos],X!$E$14,Entradas[Status],X!$E$13)</f>
        <v>0</v>
      </c>
      <c r="P498" s="277"/>
      <c r="Q498" s="105">
        <f>SUMIFS(Saidas[Valores],Saidas[Fornecedor],P498,Saidas[Data da Competência],"&gt;="&amp;RESUMO!$C$4,Saidas[Data da Competência],"&lt;"&amp;RESUMO!$D$5,Saidas[Centro de Custos],X!$E$14,Saidas[Status],X!$E$13)</f>
        <v>0</v>
      </c>
    </row>
    <row r="499">
      <c r="M499" s="277"/>
      <c r="N499" s="105">
        <f>SUMIFS(Entradas[Valores],Entradas[Cliente],M499,Entradas[Data da Competência],"&gt;="&amp;RESUMO!$C$4,Entradas[Data da Competência],"&lt;"&amp;RESUMO!$D$5,Entradas[Centro de Custos],X!$E$14,Entradas[Status],X!$E$13)</f>
        <v>0</v>
      </c>
      <c r="P499" s="277"/>
      <c r="Q499" s="105">
        <f>SUMIFS(Saidas[Valores],Saidas[Fornecedor],P499,Saidas[Data da Competência],"&gt;="&amp;RESUMO!$C$4,Saidas[Data da Competência],"&lt;"&amp;RESUMO!$D$5,Saidas[Centro de Custos],X!$E$14,Saidas[Status],X!$E$13)</f>
        <v>0</v>
      </c>
    </row>
    <row r="500">
      <c r="M500" s="277"/>
      <c r="N500" s="105">
        <f>SUMIFS(Entradas[Valores],Entradas[Cliente],M500,Entradas[Data da Competência],"&gt;="&amp;RESUMO!$C$4,Entradas[Data da Competência],"&lt;"&amp;RESUMO!$D$5,Entradas[Centro de Custos],X!$E$14,Entradas[Status],X!$E$13)</f>
        <v>0</v>
      </c>
      <c r="P500" s="277"/>
      <c r="Q500" s="105">
        <f>SUMIFS(Saidas[Valores],Saidas[Fornecedor],P500,Saidas[Data da Competência],"&gt;="&amp;RESUMO!$C$4,Saidas[Data da Competência],"&lt;"&amp;RESUMO!$D$5,Saidas[Centro de Custos],X!$E$14,Saidas[Status],X!$E$13)</f>
        <v>0</v>
      </c>
    </row>
    <row r="501">
      <c r="M501" s="277"/>
      <c r="N501" s="105">
        <f>SUMIFS(Entradas[Valores],Entradas[Cliente],M501,Entradas[Data da Competência],"&gt;="&amp;RESUMO!$C$4,Entradas[Data da Competência],"&lt;"&amp;RESUMO!$D$5,Entradas[Centro de Custos],X!$E$14,Entradas[Status],X!$E$13)</f>
        <v>0</v>
      </c>
      <c r="P501" s="277"/>
      <c r="Q501" s="105">
        <f>SUMIFS(Saidas[Valores],Saidas[Fornecedor],P501,Saidas[Data da Competência],"&gt;="&amp;RESUMO!$C$4,Saidas[Data da Competência],"&lt;"&amp;RESUMO!$D$5,Saidas[Centro de Custos],X!$E$14,Saidas[Status],X!$E$13)</f>
        <v>0</v>
      </c>
    </row>
    <row r="502">
      <c r="M502" s="277"/>
      <c r="N502" s="105">
        <f>SUMIFS(Entradas[Valores],Entradas[Cliente],M502,Entradas[Data da Competência],"&gt;="&amp;RESUMO!$C$4,Entradas[Data da Competência],"&lt;"&amp;RESUMO!$D$5,Entradas[Centro de Custos],X!$E$14,Entradas[Status],X!$E$13)</f>
        <v>0</v>
      </c>
      <c r="P502" s="277"/>
      <c r="Q502" s="105">
        <f>SUMIFS(Saidas[Valores],Saidas[Fornecedor],P502,Saidas[Data da Competência],"&gt;="&amp;RESUMO!$C$4,Saidas[Data da Competência],"&lt;"&amp;RESUMO!$D$5,Saidas[Centro de Custos],X!$E$14,Saidas[Status],X!$E$13)</f>
        <v>0</v>
      </c>
    </row>
    <row r="503">
      <c r="M503" s="277"/>
      <c r="N503" s="105">
        <f>SUMIFS(Entradas[Valores],Entradas[Cliente],M503,Entradas[Data da Competência],"&gt;="&amp;RESUMO!$C$4,Entradas[Data da Competência],"&lt;"&amp;RESUMO!$D$5,Entradas[Centro de Custos],X!$E$14,Entradas[Status],X!$E$13)</f>
        <v>0</v>
      </c>
      <c r="P503" s="277"/>
      <c r="Q503" s="105">
        <f>SUMIFS(Saidas[Valores],Saidas[Fornecedor],P503,Saidas[Data da Competência],"&gt;="&amp;RESUMO!$C$4,Saidas[Data da Competência],"&lt;"&amp;RESUMO!$D$5,Saidas[Centro de Custos],X!$E$14,Saidas[Status],X!$E$13)</f>
        <v>0</v>
      </c>
    </row>
    <row r="504">
      <c r="M504" s="277"/>
      <c r="N504" s="105">
        <f>SUMIFS(Entradas[Valores],Entradas[Cliente],M504,Entradas[Data da Competência],"&gt;="&amp;RESUMO!$C$4,Entradas[Data da Competência],"&lt;"&amp;RESUMO!$D$5,Entradas[Centro de Custos],X!$E$14,Entradas[Status],X!$E$13)</f>
        <v>0</v>
      </c>
      <c r="P504" s="277"/>
      <c r="Q504" s="105">
        <f>SUMIFS(Saidas[Valores],Saidas[Fornecedor],P504,Saidas[Data da Competência],"&gt;="&amp;RESUMO!$C$4,Saidas[Data da Competência],"&lt;"&amp;RESUMO!$D$5,Saidas[Centro de Custos],X!$E$14,Saidas[Status],X!$E$13)</f>
        <v>0</v>
      </c>
    </row>
    <row r="505">
      <c r="M505" s="277"/>
      <c r="N505" s="105">
        <f>SUMIFS(Entradas[Valores],Entradas[Cliente],M505,Entradas[Data da Competência],"&gt;="&amp;RESUMO!$C$4,Entradas[Data da Competência],"&lt;"&amp;RESUMO!$D$5,Entradas[Centro de Custos],X!$E$14,Entradas[Status],X!$E$13)</f>
        <v>0</v>
      </c>
      <c r="P505" s="277"/>
      <c r="Q505" s="105">
        <f>SUMIFS(Saidas[Valores],Saidas[Fornecedor],P505,Saidas[Data da Competência],"&gt;="&amp;RESUMO!$C$4,Saidas[Data da Competência],"&lt;"&amp;RESUMO!$D$5,Saidas[Centro de Custos],X!$E$14,Saidas[Status],X!$E$13)</f>
        <v>0</v>
      </c>
    </row>
    <row r="506">
      <c r="M506" s="277"/>
      <c r="N506" s="105">
        <f>SUMIFS(Entradas[Valores],Entradas[Cliente],M506,Entradas[Data da Competência],"&gt;="&amp;RESUMO!$C$4,Entradas[Data da Competência],"&lt;"&amp;RESUMO!$D$5,Entradas[Centro de Custos],X!$E$14,Entradas[Status],X!$E$13)</f>
        <v>0</v>
      </c>
      <c r="P506" s="277"/>
      <c r="Q506" s="105">
        <f>SUMIFS(Saidas[Valores],Saidas[Fornecedor],P506,Saidas[Data da Competência],"&gt;="&amp;RESUMO!$C$4,Saidas[Data da Competência],"&lt;"&amp;RESUMO!$D$5,Saidas[Centro de Custos],X!$E$14,Saidas[Status],X!$E$13)</f>
        <v>0</v>
      </c>
    </row>
    <row r="507">
      <c r="M507" s="277"/>
      <c r="N507" s="105">
        <f>SUMIFS(Entradas[Valores],Entradas[Cliente],M507,Entradas[Data da Competência],"&gt;="&amp;RESUMO!$C$4,Entradas[Data da Competência],"&lt;"&amp;RESUMO!$D$5,Entradas[Centro de Custos],X!$E$14,Entradas[Status],X!$E$13)</f>
        <v>0</v>
      </c>
      <c r="P507" s="277"/>
      <c r="Q507" s="105">
        <f>SUMIFS(Saidas[Valores],Saidas[Fornecedor],P507,Saidas[Data da Competência],"&gt;="&amp;RESUMO!$C$4,Saidas[Data da Competência],"&lt;"&amp;RESUMO!$D$5,Saidas[Centro de Custos],X!$E$14,Saidas[Status],X!$E$13)</f>
        <v>0</v>
      </c>
    </row>
    <row r="508">
      <c r="M508" s="277"/>
      <c r="N508" s="105">
        <f>SUMIFS(Entradas[Valores],Entradas[Cliente],M508,Entradas[Data da Competência],"&gt;="&amp;RESUMO!$C$4,Entradas[Data da Competência],"&lt;"&amp;RESUMO!$D$5,Entradas[Centro de Custos],X!$E$14,Entradas[Status],X!$E$13)</f>
        <v>0</v>
      </c>
      <c r="P508" s="277"/>
      <c r="Q508" s="105">
        <f>SUMIFS(Saidas[Valores],Saidas[Fornecedor],P508,Saidas[Data da Competência],"&gt;="&amp;RESUMO!$C$4,Saidas[Data da Competência],"&lt;"&amp;RESUMO!$D$5,Saidas[Centro de Custos],X!$E$14,Saidas[Status],X!$E$13)</f>
        <v>0</v>
      </c>
    </row>
    <row r="509">
      <c r="M509" s="277"/>
      <c r="N509" s="105">
        <f>SUMIFS(Entradas[Valores],Entradas[Cliente],M509,Entradas[Data da Competência],"&gt;="&amp;RESUMO!$C$4,Entradas[Data da Competência],"&lt;"&amp;RESUMO!$D$5,Entradas[Centro de Custos],X!$E$14,Entradas[Status],X!$E$13)</f>
        <v>0</v>
      </c>
      <c r="P509" s="277"/>
      <c r="Q509" s="105">
        <f>SUMIFS(Saidas[Valores],Saidas[Fornecedor],P509,Saidas[Data da Competência],"&gt;="&amp;RESUMO!$C$4,Saidas[Data da Competência],"&lt;"&amp;RESUMO!$D$5,Saidas[Centro de Custos],X!$E$14,Saidas[Status],X!$E$13)</f>
        <v>0</v>
      </c>
    </row>
    <row r="510">
      <c r="M510" s="277"/>
      <c r="N510" s="105">
        <f>SUMIFS(Entradas[Valores],Entradas[Cliente],M510,Entradas[Data da Competência],"&gt;="&amp;RESUMO!$C$4,Entradas[Data da Competência],"&lt;"&amp;RESUMO!$D$5,Entradas[Centro de Custos],X!$E$14,Entradas[Status],X!$E$13)</f>
        <v>0</v>
      </c>
      <c r="P510" s="277"/>
      <c r="Q510" s="105">
        <f>SUMIFS(Saidas[Valores],Saidas[Fornecedor],P510,Saidas[Data da Competência],"&gt;="&amp;RESUMO!$C$4,Saidas[Data da Competência],"&lt;"&amp;RESUMO!$D$5,Saidas[Centro de Custos],X!$E$14,Saidas[Status],X!$E$13)</f>
        <v>0</v>
      </c>
    </row>
    <row r="511">
      <c r="M511" s="277"/>
      <c r="N511" s="105">
        <f>SUMIFS(Entradas[Valores],Entradas[Cliente],M511,Entradas[Data da Competência],"&gt;="&amp;RESUMO!$C$4,Entradas[Data da Competência],"&lt;"&amp;RESUMO!$D$5,Entradas[Centro de Custos],X!$E$14,Entradas[Status],X!$E$13)</f>
        <v>0</v>
      </c>
      <c r="P511" s="277"/>
      <c r="Q511" s="105">
        <f>SUMIFS(Saidas[Valores],Saidas[Fornecedor],P511,Saidas[Data da Competência],"&gt;="&amp;RESUMO!$C$4,Saidas[Data da Competência],"&lt;"&amp;RESUMO!$D$5,Saidas[Centro de Custos],X!$E$14,Saidas[Status],X!$E$13)</f>
        <v>0</v>
      </c>
    </row>
    <row r="512">
      <c r="M512" s="277"/>
      <c r="N512" s="105">
        <f>SUMIFS(Entradas[Valores],Entradas[Cliente],M512,Entradas[Data da Competência],"&gt;="&amp;RESUMO!$C$4,Entradas[Data da Competência],"&lt;"&amp;RESUMO!$D$5,Entradas[Centro de Custos],X!$E$14,Entradas[Status],X!$E$13)</f>
        <v>0</v>
      </c>
      <c r="P512" s="277"/>
      <c r="Q512" s="105">
        <f>SUMIFS(Saidas[Valores],Saidas[Fornecedor],P512,Saidas[Data da Competência],"&gt;="&amp;RESUMO!$C$4,Saidas[Data da Competência],"&lt;"&amp;RESUMO!$D$5,Saidas[Centro de Custos],X!$E$14,Saidas[Status],X!$E$13)</f>
        <v>0</v>
      </c>
    </row>
    <row r="513">
      <c r="M513" s="277"/>
      <c r="N513" s="105">
        <f>SUMIFS(Entradas[Valores],Entradas[Cliente],M513,Entradas[Data da Competência],"&gt;="&amp;RESUMO!$C$4,Entradas[Data da Competência],"&lt;"&amp;RESUMO!$D$5,Entradas[Centro de Custos],X!$E$14,Entradas[Status],X!$E$13)</f>
        <v>0</v>
      </c>
      <c r="P513" s="277"/>
      <c r="Q513" s="105">
        <f>SUMIFS(Saidas[Valores],Saidas[Fornecedor],P513,Saidas[Data da Competência],"&gt;="&amp;RESUMO!$C$4,Saidas[Data da Competência],"&lt;"&amp;RESUMO!$D$5,Saidas[Centro de Custos],X!$E$14,Saidas[Status],X!$E$13)</f>
        <v>0</v>
      </c>
    </row>
    <row r="514">
      <c r="M514" s="277"/>
      <c r="N514" s="105">
        <f>SUMIFS(Entradas[Valores],Entradas[Cliente],M514,Entradas[Data da Competência],"&gt;="&amp;RESUMO!$C$4,Entradas[Data da Competência],"&lt;"&amp;RESUMO!$D$5,Entradas[Centro de Custos],X!$E$14,Entradas[Status],X!$E$13)</f>
        <v>0</v>
      </c>
      <c r="P514" s="277"/>
      <c r="Q514" s="105">
        <f>SUMIFS(Saidas[Valores],Saidas[Fornecedor],P514,Saidas[Data da Competência],"&gt;="&amp;RESUMO!$C$4,Saidas[Data da Competência],"&lt;"&amp;RESUMO!$D$5,Saidas[Centro de Custos],X!$E$14,Saidas[Status],X!$E$13)</f>
        <v>0</v>
      </c>
    </row>
    <row r="515">
      <c r="M515" s="277"/>
      <c r="N515" s="105">
        <f>SUMIFS(Entradas[Valores],Entradas[Cliente],M515,Entradas[Data da Competência],"&gt;="&amp;RESUMO!$C$4,Entradas[Data da Competência],"&lt;"&amp;RESUMO!$D$5,Entradas[Centro de Custos],X!$E$14,Entradas[Status],X!$E$13)</f>
        <v>0</v>
      </c>
      <c r="P515" s="277"/>
      <c r="Q515" s="105">
        <f>SUMIFS(Saidas[Valores],Saidas[Fornecedor],P515,Saidas[Data da Competência],"&gt;="&amp;RESUMO!$C$4,Saidas[Data da Competência],"&lt;"&amp;RESUMO!$D$5,Saidas[Centro de Custos],X!$E$14,Saidas[Status],X!$E$13)</f>
        <v>0</v>
      </c>
    </row>
    <row r="516">
      <c r="M516" s="277"/>
      <c r="N516" s="105">
        <f>SUMIFS(Entradas[Valores],Entradas[Cliente],M516,Entradas[Data da Competência],"&gt;="&amp;RESUMO!$C$4,Entradas[Data da Competência],"&lt;"&amp;RESUMO!$D$5,Entradas[Centro de Custos],X!$E$14,Entradas[Status],X!$E$13)</f>
        <v>0</v>
      </c>
      <c r="P516" s="277"/>
      <c r="Q516" s="105">
        <f>SUMIFS(Saidas[Valores],Saidas[Fornecedor],P516,Saidas[Data da Competência],"&gt;="&amp;RESUMO!$C$4,Saidas[Data da Competência],"&lt;"&amp;RESUMO!$D$5,Saidas[Centro de Custos],X!$E$14,Saidas[Status],X!$E$13)</f>
        <v>0</v>
      </c>
    </row>
    <row r="517">
      <c r="M517" s="277"/>
      <c r="N517" s="105">
        <f>SUMIFS(Entradas[Valores],Entradas[Cliente],M517,Entradas[Data da Competência],"&gt;="&amp;RESUMO!$C$4,Entradas[Data da Competência],"&lt;"&amp;RESUMO!$D$5,Entradas[Centro de Custos],X!$E$14,Entradas[Status],X!$E$13)</f>
        <v>0</v>
      </c>
      <c r="P517" s="277"/>
      <c r="Q517" s="105">
        <f>SUMIFS(Saidas[Valores],Saidas[Fornecedor],P517,Saidas[Data da Competência],"&gt;="&amp;RESUMO!$C$4,Saidas[Data da Competência],"&lt;"&amp;RESUMO!$D$5,Saidas[Centro de Custos],X!$E$14,Saidas[Status],X!$E$13)</f>
        <v>0</v>
      </c>
    </row>
    <row r="518">
      <c r="M518" s="277"/>
      <c r="N518" s="105">
        <f>SUMIFS(Entradas[Valores],Entradas[Cliente],M518,Entradas[Data da Competência],"&gt;="&amp;RESUMO!$C$4,Entradas[Data da Competência],"&lt;"&amp;RESUMO!$D$5,Entradas[Centro de Custos],X!$E$14,Entradas[Status],X!$E$13)</f>
        <v>0</v>
      </c>
      <c r="P518" s="277"/>
      <c r="Q518" s="105">
        <f>SUMIFS(Saidas[Valores],Saidas[Fornecedor],P518,Saidas[Data da Competência],"&gt;="&amp;RESUMO!$C$4,Saidas[Data da Competência],"&lt;"&amp;RESUMO!$D$5,Saidas[Centro de Custos],X!$E$14,Saidas[Status],X!$E$13)</f>
        <v>0</v>
      </c>
    </row>
    <row r="519">
      <c r="M519" s="277"/>
      <c r="N519" s="105">
        <f>SUMIFS(Entradas[Valores],Entradas[Cliente],M519,Entradas[Data da Competência],"&gt;="&amp;RESUMO!$C$4,Entradas[Data da Competência],"&lt;"&amp;RESUMO!$D$5,Entradas[Centro de Custos],X!$E$14,Entradas[Status],X!$E$13)</f>
        <v>0</v>
      </c>
      <c r="P519" s="277"/>
      <c r="Q519" s="105">
        <f>SUMIFS(Saidas[Valores],Saidas[Fornecedor],P519,Saidas[Data da Competência],"&gt;="&amp;RESUMO!$C$4,Saidas[Data da Competência],"&lt;"&amp;RESUMO!$D$5,Saidas[Centro de Custos],X!$E$14,Saidas[Status],X!$E$13)</f>
        <v>0</v>
      </c>
    </row>
    <row r="520">
      <c r="M520" s="277"/>
      <c r="N520" s="105">
        <f>SUMIFS(Entradas[Valores],Entradas[Cliente],M520,Entradas[Data da Competência],"&gt;="&amp;RESUMO!$C$4,Entradas[Data da Competência],"&lt;"&amp;RESUMO!$D$5,Entradas[Centro de Custos],X!$E$14,Entradas[Status],X!$E$13)</f>
        <v>0</v>
      </c>
      <c r="P520" s="277"/>
      <c r="Q520" s="105">
        <f>SUMIFS(Saidas[Valores],Saidas[Fornecedor],P520,Saidas[Data da Competência],"&gt;="&amp;RESUMO!$C$4,Saidas[Data da Competência],"&lt;"&amp;RESUMO!$D$5,Saidas[Centro de Custos],X!$E$14,Saidas[Status],X!$E$13)</f>
        <v>0</v>
      </c>
    </row>
    <row r="521">
      <c r="M521" s="277"/>
      <c r="N521" s="105">
        <f>SUMIFS(Entradas[Valores],Entradas[Cliente],M521,Entradas[Data da Competência],"&gt;="&amp;RESUMO!$C$4,Entradas[Data da Competência],"&lt;"&amp;RESUMO!$D$5,Entradas[Centro de Custos],X!$E$14,Entradas[Status],X!$E$13)</f>
        <v>0</v>
      </c>
      <c r="P521" s="277"/>
      <c r="Q521" s="105">
        <f>SUMIFS(Saidas[Valores],Saidas[Fornecedor],P521,Saidas[Data da Competência],"&gt;="&amp;RESUMO!$C$4,Saidas[Data da Competência],"&lt;"&amp;RESUMO!$D$5,Saidas[Centro de Custos],X!$E$14,Saidas[Status],X!$E$13)</f>
        <v>0</v>
      </c>
    </row>
    <row r="522">
      <c r="M522" s="277"/>
      <c r="N522" s="105">
        <f>SUMIFS(Entradas[Valores],Entradas[Cliente],M522,Entradas[Data da Competência],"&gt;="&amp;RESUMO!$C$4,Entradas[Data da Competência],"&lt;"&amp;RESUMO!$D$5,Entradas[Centro de Custos],X!$E$14,Entradas[Status],X!$E$13)</f>
        <v>0</v>
      </c>
      <c r="P522" s="277"/>
      <c r="Q522" s="105">
        <f>SUMIFS(Saidas[Valores],Saidas[Fornecedor],P522,Saidas[Data da Competência],"&gt;="&amp;RESUMO!$C$4,Saidas[Data da Competência],"&lt;"&amp;RESUMO!$D$5,Saidas[Centro de Custos],X!$E$14,Saidas[Status],X!$E$13)</f>
        <v>0</v>
      </c>
    </row>
    <row r="523">
      <c r="M523" s="277"/>
      <c r="N523" s="105">
        <f>SUMIFS(Entradas[Valores],Entradas[Cliente],M523,Entradas[Data da Competência],"&gt;="&amp;RESUMO!$C$4,Entradas[Data da Competência],"&lt;"&amp;RESUMO!$D$5,Entradas[Centro de Custos],X!$E$14,Entradas[Status],X!$E$13)</f>
        <v>0</v>
      </c>
      <c r="P523" s="277"/>
      <c r="Q523" s="105">
        <f>SUMIFS(Saidas[Valores],Saidas[Fornecedor],P523,Saidas[Data da Competência],"&gt;="&amp;RESUMO!$C$4,Saidas[Data da Competência],"&lt;"&amp;RESUMO!$D$5,Saidas[Centro de Custos],X!$E$14,Saidas[Status],X!$E$13)</f>
        <v>0</v>
      </c>
    </row>
    <row r="524">
      <c r="M524" s="277"/>
      <c r="N524" s="105">
        <f>SUMIFS(Entradas[Valores],Entradas[Cliente],M524,Entradas[Data da Competência],"&gt;="&amp;RESUMO!$C$4,Entradas[Data da Competência],"&lt;"&amp;RESUMO!$D$5,Entradas[Centro de Custos],X!$E$14,Entradas[Status],X!$E$13)</f>
        <v>0</v>
      </c>
      <c r="P524" s="277"/>
      <c r="Q524" s="105">
        <f>SUMIFS(Saidas[Valores],Saidas[Fornecedor],P524,Saidas[Data da Competência],"&gt;="&amp;RESUMO!$C$4,Saidas[Data da Competência],"&lt;"&amp;RESUMO!$D$5,Saidas[Centro de Custos],X!$E$14,Saidas[Status],X!$E$13)</f>
        <v>0</v>
      </c>
    </row>
    <row r="525">
      <c r="M525" s="277"/>
      <c r="N525" s="105">
        <f>SUMIFS(Entradas[Valores],Entradas[Cliente],M525,Entradas[Data da Competência],"&gt;="&amp;RESUMO!$C$4,Entradas[Data da Competência],"&lt;"&amp;RESUMO!$D$5,Entradas[Centro de Custos],X!$E$14,Entradas[Status],X!$E$13)</f>
        <v>0</v>
      </c>
      <c r="P525" s="277"/>
      <c r="Q525" s="105">
        <f>SUMIFS(Saidas[Valores],Saidas[Fornecedor],P525,Saidas[Data da Competência],"&gt;="&amp;RESUMO!$C$4,Saidas[Data da Competência],"&lt;"&amp;RESUMO!$D$5,Saidas[Centro de Custos],X!$E$14,Saidas[Status],X!$E$13)</f>
        <v>0</v>
      </c>
    </row>
    <row r="526">
      <c r="M526" s="277"/>
      <c r="N526" s="105">
        <f>SUMIFS(Entradas[Valores],Entradas[Cliente],M526,Entradas[Data da Competência],"&gt;="&amp;RESUMO!$C$4,Entradas[Data da Competência],"&lt;"&amp;RESUMO!$D$5,Entradas[Centro de Custos],X!$E$14,Entradas[Status],X!$E$13)</f>
        <v>0</v>
      </c>
      <c r="P526" s="277"/>
      <c r="Q526" s="105">
        <f>SUMIFS(Saidas[Valores],Saidas[Fornecedor],P526,Saidas[Data da Competência],"&gt;="&amp;RESUMO!$C$4,Saidas[Data da Competência],"&lt;"&amp;RESUMO!$D$5,Saidas[Centro de Custos],X!$E$14,Saidas[Status],X!$E$13)</f>
        <v>0</v>
      </c>
    </row>
    <row r="527">
      <c r="M527" s="277"/>
      <c r="N527" s="105">
        <f>SUMIFS(Entradas[Valores],Entradas[Cliente],M527,Entradas[Data da Competência],"&gt;="&amp;RESUMO!$C$4,Entradas[Data da Competência],"&lt;"&amp;RESUMO!$D$5,Entradas[Centro de Custos],X!$E$14,Entradas[Status],X!$E$13)</f>
        <v>0</v>
      </c>
      <c r="P527" s="277"/>
      <c r="Q527" s="105">
        <f>SUMIFS(Saidas[Valores],Saidas[Fornecedor],P527,Saidas[Data da Competência],"&gt;="&amp;RESUMO!$C$4,Saidas[Data da Competência],"&lt;"&amp;RESUMO!$D$5,Saidas[Centro de Custos],X!$E$14,Saidas[Status],X!$E$13)</f>
        <v>0</v>
      </c>
    </row>
    <row r="528">
      <c r="M528" s="277"/>
      <c r="N528" s="105">
        <f>SUMIFS(Entradas[Valores],Entradas[Cliente],M528,Entradas[Data da Competência],"&gt;="&amp;RESUMO!$C$4,Entradas[Data da Competência],"&lt;"&amp;RESUMO!$D$5,Entradas[Centro de Custos],X!$E$14,Entradas[Status],X!$E$13)</f>
        <v>0</v>
      </c>
      <c r="P528" s="277"/>
      <c r="Q528" s="105">
        <f>SUMIFS(Saidas[Valores],Saidas[Fornecedor],P528,Saidas[Data da Competência],"&gt;="&amp;RESUMO!$C$4,Saidas[Data da Competência],"&lt;"&amp;RESUMO!$D$5,Saidas[Centro de Custos],X!$E$14,Saidas[Status],X!$E$13)</f>
        <v>0</v>
      </c>
    </row>
    <row r="529">
      <c r="M529" s="277"/>
      <c r="N529" s="105">
        <f>SUMIFS(Entradas[Valores],Entradas[Cliente],M529,Entradas[Data da Competência],"&gt;="&amp;RESUMO!$C$4,Entradas[Data da Competência],"&lt;"&amp;RESUMO!$D$5,Entradas[Centro de Custos],X!$E$14,Entradas[Status],X!$E$13)</f>
        <v>0</v>
      </c>
      <c r="P529" s="277"/>
      <c r="Q529" s="105">
        <f>SUMIFS(Saidas[Valores],Saidas[Fornecedor],P529,Saidas[Data da Competência],"&gt;="&amp;RESUMO!$C$4,Saidas[Data da Competência],"&lt;"&amp;RESUMO!$D$5,Saidas[Centro de Custos],X!$E$14,Saidas[Status],X!$E$13)</f>
        <v>0</v>
      </c>
    </row>
    <row r="530">
      <c r="M530" s="277"/>
      <c r="N530" s="105">
        <f>SUMIFS(Entradas[Valores],Entradas[Cliente],M530,Entradas[Data da Competência],"&gt;="&amp;RESUMO!$C$4,Entradas[Data da Competência],"&lt;"&amp;RESUMO!$D$5,Entradas[Centro de Custos],X!$E$14,Entradas[Status],X!$E$13)</f>
        <v>0</v>
      </c>
      <c r="P530" s="277"/>
      <c r="Q530" s="105">
        <f>SUMIFS(Saidas[Valores],Saidas[Fornecedor],P530,Saidas[Data da Competência],"&gt;="&amp;RESUMO!$C$4,Saidas[Data da Competência],"&lt;"&amp;RESUMO!$D$5,Saidas[Centro de Custos],X!$E$14,Saidas[Status],X!$E$13)</f>
        <v>0</v>
      </c>
    </row>
    <row r="531">
      <c r="M531" s="277"/>
      <c r="N531" s="105">
        <f>SUMIFS(Entradas[Valores],Entradas[Cliente],M531,Entradas[Data da Competência],"&gt;="&amp;RESUMO!$C$4,Entradas[Data da Competência],"&lt;"&amp;RESUMO!$D$5,Entradas[Centro de Custos],X!$E$14,Entradas[Status],X!$E$13)</f>
        <v>0</v>
      </c>
      <c r="P531" s="277"/>
      <c r="Q531" s="105">
        <f>SUMIFS(Saidas[Valores],Saidas[Fornecedor],P531,Saidas[Data da Competência],"&gt;="&amp;RESUMO!$C$4,Saidas[Data da Competência],"&lt;"&amp;RESUMO!$D$5,Saidas[Centro de Custos],X!$E$14,Saidas[Status],X!$E$13)</f>
        <v>0</v>
      </c>
    </row>
    <row r="532">
      <c r="M532" s="277"/>
      <c r="N532" s="105">
        <f>SUMIFS(Entradas[Valores],Entradas[Cliente],M532,Entradas[Data da Competência],"&gt;="&amp;RESUMO!$C$4,Entradas[Data da Competência],"&lt;"&amp;RESUMO!$D$5,Entradas[Centro de Custos],X!$E$14,Entradas[Status],X!$E$13)</f>
        <v>0</v>
      </c>
      <c r="P532" s="277"/>
      <c r="Q532" s="105">
        <f>SUMIFS(Saidas[Valores],Saidas[Fornecedor],P532,Saidas[Data da Competência],"&gt;="&amp;RESUMO!$C$4,Saidas[Data da Competência],"&lt;"&amp;RESUMO!$D$5,Saidas[Centro de Custos],X!$E$14,Saidas[Status],X!$E$13)</f>
        <v>0</v>
      </c>
    </row>
    <row r="533">
      <c r="M533" s="277"/>
      <c r="N533" s="105">
        <f>SUMIFS(Entradas[Valores],Entradas[Cliente],M533,Entradas[Data da Competência],"&gt;="&amp;RESUMO!$C$4,Entradas[Data da Competência],"&lt;"&amp;RESUMO!$D$5,Entradas[Centro de Custos],X!$E$14,Entradas[Status],X!$E$13)</f>
        <v>0</v>
      </c>
      <c r="P533" s="277"/>
      <c r="Q533" s="105">
        <f>SUMIFS(Saidas[Valores],Saidas[Fornecedor],P533,Saidas[Data da Competência],"&gt;="&amp;RESUMO!$C$4,Saidas[Data da Competência],"&lt;"&amp;RESUMO!$D$5,Saidas[Centro de Custos],X!$E$14,Saidas[Status],X!$E$13)</f>
        <v>0</v>
      </c>
    </row>
    <row r="534">
      <c r="M534" s="277"/>
      <c r="N534" s="105">
        <f>SUMIFS(Entradas[Valores],Entradas[Cliente],M534,Entradas[Data da Competência],"&gt;="&amp;RESUMO!$C$4,Entradas[Data da Competência],"&lt;"&amp;RESUMO!$D$5,Entradas[Centro de Custos],X!$E$14,Entradas[Status],X!$E$13)</f>
        <v>0</v>
      </c>
      <c r="P534" s="277"/>
      <c r="Q534" s="105">
        <f>SUMIFS(Saidas[Valores],Saidas[Fornecedor],P534,Saidas[Data da Competência],"&gt;="&amp;RESUMO!$C$4,Saidas[Data da Competência],"&lt;"&amp;RESUMO!$D$5,Saidas[Centro de Custos],X!$E$14,Saidas[Status],X!$E$13)</f>
        <v>0</v>
      </c>
    </row>
    <row r="535">
      <c r="M535" s="277"/>
      <c r="N535" s="105">
        <f>SUMIFS(Entradas[Valores],Entradas[Cliente],M535,Entradas[Data da Competência],"&gt;="&amp;RESUMO!$C$4,Entradas[Data da Competência],"&lt;"&amp;RESUMO!$D$5,Entradas[Centro de Custos],X!$E$14,Entradas[Status],X!$E$13)</f>
        <v>0</v>
      </c>
      <c r="P535" s="277"/>
      <c r="Q535" s="105">
        <f>SUMIFS(Saidas[Valores],Saidas[Fornecedor],P535,Saidas[Data da Competência],"&gt;="&amp;RESUMO!$C$4,Saidas[Data da Competência],"&lt;"&amp;RESUMO!$D$5,Saidas[Centro de Custos],X!$E$14,Saidas[Status],X!$E$13)</f>
        <v>0</v>
      </c>
    </row>
    <row r="536">
      <c r="M536" s="277"/>
      <c r="N536" s="105">
        <f>SUMIFS(Entradas[Valores],Entradas[Cliente],M536,Entradas[Data da Competência],"&gt;="&amp;RESUMO!$C$4,Entradas[Data da Competência],"&lt;"&amp;RESUMO!$D$5,Entradas[Centro de Custos],X!$E$14,Entradas[Status],X!$E$13)</f>
        <v>0</v>
      </c>
      <c r="P536" s="277"/>
      <c r="Q536" s="105">
        <f>SUMIFS(Saidas[Valores],Saidas[Fornecedor],P536,Saidas[Data da Competência],"&gt;="&amp;RESUMO!$C$4,Saidas[Data da Competência],"&lt;"&amp;RESUMO!$D$5,Saidas[Centro de Custos],X!$E$14,Saidas[Status],X!$E$13)</f>
        <v>0</v>
      </c>
    </row>
    <row r="537">
      <c r="M537" s="277"/>
      <c r="N537" s="105">
        <f>SUMIFS(Entradas[Valores],Entradas[Cliente],M537,Entradas[Data da Competência],"&gt;="&amp;RESUMO!$C$4,Entradas[Data da Competência],"&lt;"&amp;RESUMO!$D$5,Entradas[Centro de Custos],X!$E$14,Entradas[Status],X!$E$13)</f>
        <v>0</v>
      </c>
      <c r="P537" s="277"/>
      <c r="Q537" s="105">
        <f>SUMIFS(Saidas[Valores],Saidas[Fornecedor],P537,Saidas[Data da Competência],"&gt;="&amp;RESUMO!$C$4,Saidas[Data da Competência],"&lt;"&amp;RESUMO!$D$5,Saidas[Centro de Custos],X!$E$14,Saidas[Status],X!$E$13)</f>
        <v>0</v>
      </c>
    </row>
    <row r="538">
      <c r="M538" s="277"/>
      <c r="N538" s="105">
        <f>SUMIFS(Entradas[Valores],Entradas[Cliente],M538,Entradas[Data da Competência],"&gt;="&amp;RESUMO!$C$4,Entradas[Data da Competência],"&lt;"&amp;RESUMO!$D$5,Entradas[Centro de Custos],X!$E$14,Entradas[Status],X!$E$13)</f>
        <v>0</v>
      </c>
      <c r="P538" s="277"/>
      <c r="Q538" s="105">
        <f>SUMIFS(Saidas[Valores],Saidas[Fornecedor],P538,Saidas[Data da Competência],"&gt;="&amp;RESUMO!$C$4,Saidas[Data da Competência],"&lt;"&amp;RESUMO!$D$5,Saidas[Centro de Custos],X!$E$14,Saidas[Status],X!$E$13)</f>
        <v>0</v>
      </c>
    </row>
    <row r="539">
      <c r="M539" s="277"/>
      <c r="N539" s="105">
        <f>SUMIFS(Entradas[Valores],Entradas[Cliente],M539,Entradas[Data da Competência],"&gt;="&amp;RESUMO!$C$4,Entradas[Data da Competência],"&lt;"&amp;RESUMO!$D$5,Entradas[Centro de Custos],X!$E$14,Entradas[Status],X!$E$13)</f>
        <v>0</v>
      </c>
      <c r="P539" s="277"/>
      <c r="Q539" s="105">
        <f>SUMIFS(Saidas[Valores],Saidas[Fornecedor],P539,Saidas[Data da Competência],"&gt;="&amp;RESUMO!$C$4,Saidas[Data da Competência],"&lt;"&amp;RESUMO!$D$5,Saidas[Centro de Custos],X!$E$14,Saidas[Status],X!$E$13)</f>
        <v>0</v>
      </c>
    </row>
    <row r="540">
      <c r="M540" s="277"/>
      <c r="N540" s="105">
        <f>SUMIFS(Entradas[Valores],Entradas[Cliente],M540,Entradas[Data da Competência],"&gt;="&amp;RESUMO!$C$4,Entradas[Data da Competência],"&lt;"&amp;RESUMO!$D$5,Entradas[Centro de Custos],X!$E$14,Entradas[Status],X!$E$13)</f>
        <v>0</v>
      </c>
      <c r="P540" s="277"/>
      <c r="Q540" s="105">
        <f>SUMIFS(Saidas[Valores],Saidas[Fornecedor],P540,Saidas[Data da Competência],"&gt;="&amp;RESUMO!$C$4,Saidas[Data da Competência],"&lt;"&amp;RESUMO!$D$5,Saidas[Centro de Custos],X!$E$14,Saidas[Status],X!$E$13)</f>
        <v>0</v>
      </c>
    </row>
    <row r="541">
      <c r="M541" s="277"/>
      <c r="N541" s="105">
        <f>SUMIFS(Entradas[Valores],Entradas[Cliente],M541,Entradas[Data da Competência],"&gt;="&amp;RESUMO!$C$4,Entradas[Data da Competência],"&lt;"&amp;RESUMO!$D$5,Entradas[Centro de Custos],X!$E$14,Entradas[Status],X!$E$13)</f>
        <v>0</v>
      </c>
      <c r="P541" s="277"/>
      <c r="Q541" s="105">
        <f>SUMIFS(Saidas[Valores],Saidas[Fornecedor],P541,Saidas[Data da Competência],"&gt;="&amp;RESUMO!$C$4,Saidas[Data da Competência],"&lt;"&amp;RESUMO!$D$5,Saidas[Centro de Custos],X!$E$14,Saidas[Status],X!$E$13)</f>
        <v>0</v>
      </c>
    </row>
    <row r="542">
      <c r="M542" s="277"/>
      <c r="N542" s="105">
        <f>SUMIFS(Entradas[Valores],Entradas[Cliente],M542,Entradas[Data da Competência],"&gt;="&amp;RESUMO!$C$4,Entradas[Data da Competência],"&lt;"&amp;RESUMO!$D$5,Entradas[Centro de Custos],X!$E$14,Entradas[Status],X!$E$13)</f>
        <v>0</v>
      </c>
      <c r="P542" s="277"/>
      <c r="Q542" s="105">
        <f>SUMIFS(Saidas[Valores],Saidas[Fornecedor],P542,Saidas[Data da Competência],"&gt;="&amp;RESUMO!$C$4,Saidas[Data da Competência],"&lt;"&amp;RESUMO!$D$5,Saidas[Centro de Custos],X!$E$14,Saidas[Status],X!$E$13)</f>
        <v>0</v>
      </c>
    </row>
    <row r="543">
      <c r="M543" s="277"/>
      <c r="N543" s="105">
        <f>SUMIFS(Entradas[Valores],Entradas[Cliente],M543,Entradas[Data da Competência],"&gt;="&amp;RESUMO!$C$4,Entradas[Data da Competência],"&lt;"&amp;RESUMO!$D$5,Entradas[Centro de Custos],X!$E$14,Entradas[Status],X!$E$13)</f>
        <v>0</v>
      </c>
      <c r="P543" s="277"/>
      <c r="Q543" s="105">
        <f>SUMIFS(Saidas[Valores],Saidas[Fornecedor],P543,Saidas[Data da Competência],"&gt;="&amp;RESUMO!$C$4,Saidas[Data da Competência],"&lt;"&amp;RESUMO!$D$5,Saidas[Centro de Custos],X!$E$14,Saidas[Status],X!$E$13)</f>
        <v>0</v>
      </c>
    </row>
    <row r="544">
      <c r="M544" s="277"/>
      <c r="N544" s="105">
        <f>SUMIFS(Entradas[Valores],Entradas[Cliente],M544,Entradas[Data da Competência],"&gt;="&amp;RESUMO!$C$4,Entradas[Data da Competência],"&lt;"&amp;RESUMO!$D$5,Entradas[Centro de Custos],X!$E$14,Entradas[Status],X!$E$13)</f>
        <v>0</v>
      </c>
      <c r="P544" s="277"/>
      <c r="Q544" s="105">
        <f>SUMIFS(Saidas[Valores],Saidas[Fornecedor],P544,Saidas[Data da Competência],"&gt;="&amp;RESUMO!$C$4,Saidas[Data da Competência],"&lt;"&amp;RESUMO!$D$5,Saidas[Centro de Custos],X!$E$14,Saidas[Status],X!$E$13)</f>
        <v>0</v>
      </c>
    </row>
    <row r="545">
      <c r="M545" s="277"/>
      <c r="N545" s="105">
        <f>SUMIFS(Entradas[Valores],Entradas[Cliente],M545,Entradas[Data da Competência],"&gt;="&amp;RESUMO!$C$4,Entradas[Data da Competência],"&lt;"&amp;RESUMO!$D$5,Entradas[Centro de Custos],X!$E$14,Entradas[Status],X!$E$13)</f>
        <v>0</v>
      </c>
      <c r="P545" s="277"/>
      <c r="Q545" s="105">
        <f>SUMIFS(Saidas[Valores],Saidas[Fornecedor],P545,Saidas[Data da Competência],"&gt;="&amp;RESUMO!$C$4,Saidas[Data da Competência],"&lt;"&amp;RESUMO!$D$5,Saidas[Centro de Custos],X!$E$14,Saidas[Status],X!$E$13)</f>
        <v>0</v>
      </c>
    </row>
    <row r="546">
      <c r="M546" s="277"/>
      <c r="N546" s="105">
        <f>SUMIFS(Entradas[Valores],Entradas[Cliente],M546,Entradas[Data da Competência],"&gt;="&amp;RESUMO!$C$4,Entradas[Data da Competência],"&lt;"&amp;RESUMO!$D$5,Entradas[Centro de Custos],X!$E$14,Entradas[Status],X!$E$13)</f>
        <v>0</v>
      </c>
      <c r="P546" s="277"/>
      <c r="Q546" s="105">
        <f>SUMIFS(Saidas[Valores],Saidas[Fornecedor],P546,Saidas[Data da Competência],"&gt;="&amp;RESUMO!$C$4,Saidas[Data da Competência],"&lt;"&amp;RESUMO!$D$5,Saidas[Centro de Custos],X!$E$14,Saidas[Status],X!$E$13)</f>
        <v>0</v>
      </c>
    </row>
    <row r="547">
      <c r="M547" s="277"/>
      <c r="N547" s="105">
        <f>SUMIFS(Entradas[Valores],Entradas[Cliente],M547,Entradas[Data da Competência],"&gt;="&amp;RESUMO!$C$4,Entradas[Data da Competência],"&lt;"&amp;RESUMO!$D$5,Entradas[Centro de Custos],X!$E$14,Entradas[Status],X!$E$13)</f>
        <v>0</v>
      </c>
      <c r="P547" s="277"/>
      <c r="Q547" s="105">
        <f>SUMIFS(Saidas[Valores],Saidas[Fornecedor],P547,Saidas[Data da Competência],"&gt;="&amp;RESUMO!$C$4,Saidas[Data da Competência],"&lt;"&amp;RESUMO!$D$5,Saidas[Centro de Custos],X!$E$14,Saidas[Status],X!$E$13)</f>
        <v>0</v>
      </c>
    </row>
    <row r="548">
      <c r="M548" s="277"/>
      <c r="N548" s="105">
        <f>SUMIFS(Entradas[Valores],Entradas[Cliente],M548,Entradas[Data da Competência],"&gt;="&amp;RESUMO!$C$4,Entradas[Data da Competência],"&lt;"&amp;RESUMO!$D$5,Entradas[Centro de Custos],X!$E$14,Entradas[Status],X!$E$13)</f>
        <v>0</v>
      </c>
      <c r="P548" s="277"/>
      <c r="Q548" s="105">
        <f>SUMIFS(Saidas[Valores],Saidas[Fornecedor],P548,Saidas[Data da Competência],"&gt;="&amp;RESUMO!$C$4,Saidas[Data da Competência],"&lt;"&amp;RESUMO!$D$5,Saidas[Centro de Custos],X!$E$14,Saidas[Status],X!$E$13)</f>
        <v>0</v>
      </c>
    </row>
    <row r="549">
      <c r="M549" s="277"/>
      <c r="N549" s="105">
        <f>SUMIFS(Entradas[Valores],Entradas[Cliente],M549,Entradas[Data da Competência],"&gt;="&amp;RESUMO!$C$4,Entradas[Data da Competência],"&lt;"&amp;RESUMO!$D$5,Entradas[Centro de Custos],X!$E$14,Entradas[Status],X!$E$13)</f>
        <v>0</v>
      </c>
      <c r="P549" s="277"/>
      <c r="Q549" s="105">
        <f>SUMIFS(Saidas[Valores],Saidas[Fornecedor],P549,Saidas[Data da Competência],"&gt;="&amp;RESUMO!$C$4,Saidas[Data da Competência],"&lt;"&amp;RESUMO!$D$5,Saidas[Centro de Custos],X!$E$14,Saidas[Status],X!$E$13)</f>
        <v>0</v>
      </c>
    </row>
    <row r="550">
      <c r="M550" s="277"/>
      <c r="N550" s="105">
        <f>SUMIFS(Entradas[Valores],Entradas[Cliente],M550,Entradas[Data da Competência],"&gt;="&amp;RESUMO!$C$4,Entradas[Data da Competência],"&lt;"&amp;RESUMO!$D$5,Entradas[Centro de Custos],X!$E$14,Entradas[Status],X!$E$13)</f>
        <v>0</v>
      </c>
      <c r="P550" s="277"/>
      <c r="Q550" s="105">
        <f>SUMIFS(Saidas[Valores],Saidas[Fornecedor],P550,Saidas[Data da Competência],"&gt;="&amp;RESUMO!$C$4,Saidas[Data da Competência],"&lt;"&amp;RESUMO!$D$5,Saidas[Centro de Custos],X!$E$14,Saidas[Status],X!$E$13)</f>
        <v>0</v>
      </c>
    </row>
    <row r="551">
      <c r="M551" s="277"/>
      <c r="N551" s="105">
        <f>SUMIFS(Entradas[Valores],Entradas[Cliente],M551,Entradas[Data da Competência],"&gt;="&amp;RESUMO!$C$4,Entradas[Data da Competência],"&lt;"&amp;RESUMO!$D$5,Entradas[Centro de Custos],X!$E$14,Entradas[Status],X!$E$13)</f>
        <v>0</v>
      </c>
      <c r="P551" s="277"/>
      <c r="Q551" s="105">
        <f>SUMIFS(Saidas[Valores],Saidas[Fornecedor],P551,Saidas[Data da Competência],"&gt;="&amp;RESUMO!$C$4,Saidas[Data da Competência],"&lt;"&amp;RESUMO!$D$5,Saidas[Centro de Custos],X!$E$14,Saidas[Status],X!$E$13)</f>
        <v>0</v>
      </c>
    </row>
    <row r="552">
      <c r="M552" s="277"/>
      <c r="N552" s="105">
        <f>SUMIFS(Entradas[Valores],Entradas[Cliente],M552,Entradas[Data da Competência],"&gt;="&amp;RESUMO!$C$4,Entradas[Data da Competência],"&lt;"&amp;RESUMO!$D$5,Entradas[Centro de Custos],X!$E$14,Entradas[Status],X!$E$13)</f>
        <v>0</v>
      </c>
      <c r="P552" s="277"/>
      <c r="Q552" s="105">
        <f>SUMIFS(Saidas[Valores],Saidas[Fornecedor],P552,Saidas[Data da Competência],"&gt;="&amp;RESUMO!$C$4,Saidas[Data da Competência],"&lt;"&amp;RESUMO!$D$5,Saidas[Centro de Custos],X!$E$14,Saidas[Status],X!$E$13)</f>
        <v>0</v>
      </c>
    </row>
    <row r="553">
      <c r="M553" s="277"/>
      <c r="N553" s="105">
        <f>SUMIFS(Entradas[Valores],Entradas[Cliente],M553,Entradas[Data da Competência],"&gt;="&amp;RESUMO!$C$4,Entradas[Data da Competência],"&lt;"&amp;RESUMO!$D$5,Entradas[Centro de Custos],X!$E$14,Entradas[Status],X!$E$13)</f>
        <v>0</v>
      </c>
      <c r="P553" s="277"/>
      <c r="Q553" s="105">
        <f>SUMIFS(Saidas[Valores],Saidas[Fornecedor],P553,Saidas[Data da Competência],"&gt;="&amp;RESUMO!$C$4,Saidas[Data da Competência],"&lt;"&amp;RESUMO!$D$5,Saidas[Centro de Custos],X!$E$14,Saidas[Status],X!$E$13)</f>
        <v>0</v>
      </c>
    </row>
    <row r="554">
      <c r="M554" s="277"/>
      <c r="N554" s="105">
        <f>SUMIFS(Entradas[Valores],Entradas[Cliente],M554,Entradas[Data da Competência],"&gt;="&amp;RESUMO!$C$4,Entradas[Data da Competência],"&lt;"&amp;RESUMO!$D$5,Entradas[Centro de Custos],X!$E$14,Entradas[Status],X!$E$13)</f>
        <v>0</v>
      </c>
      <c r="P554" s="277"/>
      <c r="Q554" s="105">
        <f>SUMIFS(Saidas[Valores],Saidas[Fornecedor],P554,Saidas[Data da Competência],"&gt;="&amp;RESUMO!$C$4,Saidas[Data da Competência],"&lt;"&amp;RESUMO!$D$5,Saidas[Centro de Custos],X!$E$14,Saidas[Status],X!$E$13)</f>
        <v>0</v>
      </c>
    </row>
    <row r="555">
      <c r="M555" s="277"/>
      <c r="N555" s="105">
        <f>SUMIFS(Entradas[Valores],Entradas[Cliente],M555,Entradas[Data da Competência],"&gt;="&amp;RESUMO!$C$4,Entradas[Data da Competência],"&lt;"&amp;RESUMO!$D$5,Entradas[Centro de Custos],X!$E$14,Entradas[Status],X!$E$13)</f>
        <v>0</v>
      </c>
      <c r="P555" s="277"/>
      <c r="Q555" s="105">
        <f>SUMIFS(Saidas[Valores],Saidas[Fornecedor],P555,Saidas[Data da Competência],"&gt;="&amp;RESUMO!$C$4,Saidas[Data da Competência],"&lt;"&amp;RESUMO!$D$5,Saidas[Centro de Custos],X!$E$14,Saidas[Status],X!$E$13)</f>
        <v>0</v>
      </c>
    </row>
    <row r="556">
      <c r="M556" s="277"/>
      <c r="N556" s="105">
        <f>SUMIFS(Entradas[Valores],Entradas[Cliente],M556,Entradas[Data da Competência],"&gt;="&amp;RESUMO!$C$4,Entradas[Data da Competência],"&lt;"&amp;RESUMO!$D$5,Entradas[Centro de Custos],X!$E$14,Entradas[Status],X!$E$13)</f>
        <v>0</v>
      </c>
      <c r="P556" s="277"/>
      <c r="Q556" s="105">
        <f>SUMIFS(Saidas[Valores],Saidas[Fornecedor],P556,Saidas[Data da Competência],"&gt;="&amp;RESUMO!$C$4,Saidas[Data da Competência],"&lt;"&amp;RESUMO!$D$5,Saidas[Centro de Custos],X!$E$14,Saidas[Status],X!$E$13)</f>
        <v>0</v>
      </c>
    </row>
    <row r="557">
      <c r="M557" s="277"/>
      <c r="N557" s="105">
        <f>SUMIFS(Entradas[Valores],Entradas[Cliente],M557,Entradas[Data da Competência],"&gt;="&amp;RESUMO!$C$4,Entradas[Data da Competência],"&lt;"&amp;RESUMO!$D$5,Entradas[Centro de Custos],X!$E$14,Entradas[Status],X!$E$13)</f>
        <v>0</v>
      </c>
      <c r="P557" s="277"/>
      <c r="Q557" s="105">
        <f>SUMIFS(Saidas[Valores],Saidas[Fornecedor],P557,Saidas[Data da Competência],"&gt;="&amp;RESUMO!$C$4,Saidas[Data da Competência],"&lt;"&amp;RESUMO!$D$5,Saidas[Centro de Custos],X!$E$14,Saidas[Status],X!$E$13)</f>
        <v>0</v>
      </c>
    </row>
    <row r="558">
      <c r="M558" s="277"/>
      <c r="N558" s="105">
        <f>SUMIFS(Entradas[Valores],Entradas[Cliente],M558,Entradas[Data da Competência],"&gt;="&amp;RESUMO!$C$4,Entradas[Data da Competência],"&lt;"&amp;RESUMO!$D$5,Entradas[Centro de Custos],X!$E$14,Entradas[Status],X!$E$13)</f>
        <v>0</v>
      </c>
      <c r="P558" s="277"/>
      <c r="Q558" s="105">
        <f>SUMIFS(Saidas[Valores],Saidas[Fornecedor],P558,Saidas[Data da Competência],"&gt;="&amp;RESUMO!$C$4,Saidas[Data da Competência],"&lt;"&amp;RESUMO!$D$5,Saidas[Centro de Custos],X!$E$14,Saidas[Status],X!$E$13)</f>
        <v>0</v>
      </c>
    </row>
    <row r="559">
      <c r="M559" s="277"/>
      <c r="N559" s="105">
        <f>SUMIFS(Entradas[Valores],Entradas[Cliente],M559,Entradas[Data da Competência],"&gt;="&amp;RESUMO!$C$4,Entradas[Data da Competência],"&lt;"&amp;RESUMO!$D$5,Entradas[Centro de Custos],X!$E$14,Entradas[Status],X!$E$13)</f>
        <v>0</v>
      </c>
      <c r="P559" s="277"/>
      <c r="Q559" s="105">
        <f>SUMIFS(Saidas[Valores],Saidas[Fornecedor],P559,Saidas[Data da Competência],"&gt;="&amp;RESUMO!$C$4,Saidas[Data da Competência],"&lt;"&amp;RESUMO!$D$5,Saidas[Centro de Custos],X!$E$14,Saidas[Status],X!$E$13)</f>
        <v>0</v>
      </c>
    </row>
    <row r="560">
      <c r="M560" s="277"/>
      <c r="N560" s="105">
        <f>SUMIFS(Entradas[Valores],Entradas[Cliente],M560,Entradas[Data da Competência],"&gt;="&amp;RESUMO!$C$4,Entradas[Data da Competência],"&lt;"&amp;RESUMO!$D$5,Entradas[Centro de Custos],X!$E$14,Entradas[Status],X!$E$13)</f>
        <v>0</v>
      </c>
      <c r="P560" s="277"/>
      <c r="Q560" s="105">
        <f>SUMIFS(Saidas[Valores],Saidas[Fornecedor],P560,Saidas[Data da Competência],"&gt;="&amp;RESUMO!$C$4,Saidas[Data da Competência],"&lt;"&amp;RESUMO!$D$5,Saidas[Centro de Custos],X!$E$14,Saidas[Status],X!$E$13)</f>
        <v>0</v>
      </c>
    </row>
    <row r="561">
      <c r="M561" s="277"/>
      <c r="N561" s="105">
        <f>SUMIFS(Entradas[Valores],Entradas[Cliente],M561,Entradas[Data da Competência],"&gt;="&amp;RESUMO!$C$4,Entradas[Data da Competência],"&lt;"&amp;RESUMO!$D$5,Entradas[Centro de Custos],X!$E$14,Entradas[Status],X!$E$13)</f>
        <v>0</v>
      </c>
      <c r="P561" s="277"/>
      <c r="Q561" s="105">
        <f>SUMIFS(Saidas[Valores],Saidas[Fornecedor],P561,Saidas[Data da Competência],"&gt;="&amp;RESUMO!$C$4,Saidas[Data da Competência],"&lt;"&amp;RESUMO!$D$5,Saidas[Centro de Custos],X!$E$14,Saidas[Status],X!$E$13)</f>
        <v>0</v>
      </c>
    </row>
    <row r="562">
      <c r="M562" s="277"/>
      <c r="N562" s="105">
        <f>SUMIFS(Entradas[Valores],Entradas[Cliente],M562,Entradas[Data da Competência],"&gt;="&amp;RESUMO!$C$4,Entradas[Data da Competência],"&lt;"&amp;RESUMO!$D$5,Entradas[Centro de Custos],X!$E$14,Entradas[Status],X!$E$13)</f>
        <v>0</v>
      </c>
      <c r="P562" s="277"/>
      <c r="Q562" s="105">
        <f>SUMIFS(Saidas[Valores],Saidas[Fornecedor],P562,Saidas[Data da Competência],"&gt;="&amp;RESUMO!$C$4,Saidas[Data da Competência],"&lt;"&amp;RESUMO!$D$5,Saidas[Centro de Custos],X!$E$14,Saidas[Status],X!$E$13)</f>
        <v>0</v>
      </c>
    </row>
    <row r="563">
      <c r="M563" s="277"/>
      <c r="N563" s="105">
        <f>SUMIFS(Entradas[Valores],Entradas[Cliente],M563,Entradas[Data da Competência],"&gt;="&amp;RESUMO!$C$4,Entradas[Data da Competência],"&lt;"&amp;RESUMO!$D$5,Entradas[Centro de Custos],X!$E$14,Entradas[Status],X!$E$13)</f>
        <v>0</v>
      </c>
      <c r="P563" s="277"/>
      <c r="Q563" s="105">
        <f>SUMIFS(Saidas[Valores],Saidas[Fornecedor],P563,Saidas[Data da Competência],"&gt;="&amp;RESUMO!$C$4,Saidas[Data da Competência],"&lt;"&amp;RESUMO!$D$5,Saidas[Centro de Custos],X!$E$14,Saidas[Status],X!$E$13)</f>
        <v>0</v>
      </c>
    </row>
    <row r="564">
      <c r="M564" s="277"/>
      <c r="N564" s="105">
        <f>SUMIFS(Entradas[Valores],Entradas[Cliente],M564,Entradas[Data da Competência],"&gt;="&amp;RESUMO!$C$4,Entradas[Data da Competência],"&lt;"&amp;RESUMO!$D$5,Entradas[Centro de Custos],X!$E$14,Entradas[Status],X!$E$13)</f>
        <v>0</v>
      </c>
      <c r="P564" s="277"/>
      <c r="Q564" s="105">
        <f>SUMIFS(Saidas[Valores],Saidas[Fornecedor],P564,Saidas[Data da Competência],"&gt;="&amp;RESUMO!$C$4,Saidas[Data da Competência],"&lt;"&amp;RESUMO!$D$5,Saidas[Centro de Custos],X!$E$14,Saidas[Status],X!$E$13)</f>
        <v>0</v>
      </c>
    </row>
    <row r="565">
      <c r="M565" s="277"/>
      <c r="N565" s="105">
        <f>SUMIFS(Entradas[Valores],Entradas[Cliente],M565,Entradas[Data da Competência],"&gt;="&amp;RESUMO!$C$4,Entradas[Data da Competência],"&lt;"&amp;RESUMO!$D$5,Entradas[Centro de Custos],X!$E$14,Entradas[Status],X!$E$13)</f>
        <v>0</v>
      </c>
      <c r="P565" s="277"/>
      <c r="Q565" s="105">
        <f>SUMIFS(Saidas[Valores],Saidas[Fornecedor],P565,Saidas[Data da Competência],"&gt;="&amp;RESUMO!$C$4,Saidas[Data da Competência],"&lt;"&amp;RESUMO!$D$5,Saidas[Centro de Custos],X!$E$14,Saidas[Status],X!$E$13)</f>
        <v>0</v>
      </c>
    </row>
    <row r="566">
      <c r="M566" s="277"/>
      <c r="N566" s="105">
        <f>SUMIFS(Entradas[Valores],Entradas[Cliente],M566,Entradas[Data da Competência],"&gt;="&amp;RESUMO!$C$4,Entradas[Data da Competência],"&lt;"&amp;RESUMO!$D$5,Entradas[Centro de Custos],X!$E$14,Entradas[Status],X!$E$13)</f>
        <v>0</v>
      </c>
      <c r="P566" s="277"/>
      <c r="Q566" s="105">
        <f>SUMIFS(Saidas[Valores],Saidas[Fornecedor],P566,Saidas[Data da Competência],"&gt;="&amp;RESUMO!$C$4,Saidas[Data da Competência],"&lt;"&amp;RESUMO!$D$5,Saidas[Centro de Custos],X!$E$14,Saidas[Status],X!$E$13)</f>
        <v>0</v>
      </c>
    </row>
    <row r="567">
      <c r="M567" s="277"/>
      <c r="N567" s="105">
        <f>SUMIFS(Entradas[Valores],Entradas[Cliente],M567,Entradas[Data da Competência],"&gt;="&amp;RESUMO!$C$4,Entradas[Data da Competência],"&lt;"&amp;RESUMO!$D$5,Entradas[Centro de Custos],X!$E$14,Entradas[Status],X!$E$13)</f>
        <v>0</v>
      </c>
      <c r="P567" s="277"/>
      <c r="Q567" s="105">
        <f>SUMIFS(Saidas[Valores],Saidas[Fornecedor],P567,Saidas[Data da Competência],"&gt;="&amp;RESUMO!$C$4,Saidas[Data da Competência],"&lt;"&amp;RESUMO!$D$5,Saidas[Centro de Custos],X!$E$14,Saidas[Status],X!$E$13)</f>
        <v>0</v>
      </c>
    </row>
    <row r="568">
      <c r="M568" s="277"/>
      <c r="N568" s="105">
        <f>SUMIFS(Entradas[Valores],Entradas[Cliente],M568,Entradas[Data da Competência],"&gt;="&amp;RESUMO!$C$4,Entradas[Data da Competência],"&lt;"&amp;RESUMO!$D$5,Entradas[Centro de Custos],X!$E$14,Entradas[Status],X!$E$13)</f>
        <v>0</v>
      </c>
      <c r="P568" s="277"/>
      <c r="Q568" s="105">
        <f>SUMIFS(Saidas[Valores],Saidas[Fornecedor],P568,Saidas[Data da Competência],"&gt;="&amp;RESUMO!$C$4,Saidas[Data da Competência],"&lt;"&amp;RESUMO!$D$5,Saidas[Centro de Custos],X!$E$14,Saidas[Status],X!$E$13)</f>
        <v>0</v>
      </c>
    </row>
    <row r="569">
      <c r="M569" s="277"/>
      <c r="N569" s="105">
        <f>SUMIFS(Entradas[Valores],Entradas[Cliente],M569,Entradas[Data da Competência],"&gt;="&amp;RESUMO!$C$4,Entradas[Data da Competência],"&lt;"&amp;RESUMO!$D$5,Entradas[Centro de Custos],X!$E$14,Entradas[Status],X!$E$13)</f>
        <v>0</v>
      </c>
      <c r="P569" s="277"/>
      <c r="Q569" s="105">
        <f>SUMIFS(Saidas[Valores],Saidas[Fornecedor],P569,Saidas[Data da Competência],"&gt;="&amp;RESUMO!$C$4,Saidas[Data da Competência],"&lt;"&amp;RESUMO!$D$5,Saidas[Centro de Custos],X!$E$14,Saidas[Status],X!$E$13)</f>
        <v>0</v>
      </c>
    </row>
    <row r="570">
      <c r="M570" s="277"/>
      <c r="N570" s="105">
        <f>SUMIFS(Entradas[Valores],Entradas[Cliente],M570,Entradas[Data da Competência],"&gt;="&amp;RESUMO!$C$4,Entradas[Data da Competência],"&lt;"&amp;RESUMO!$D$5,Entradas[Centro de Custos],X!$E$14,Entradas[Status],X!$E$13)</f>
        <v>0</v>
      </c>
      <c r="P570" s="277"/>
      <c r="Q570" s="105">
        <f>SUMIFS(Saidas[Valores],Saidas[Fornecedor],P570,Saidas[Data da Competência],"&gt;="&amp;RESUMO!$C$4,Saidas[Data da Competência],"&lt;"&amp;RESUMO!$D$5,Saidas[Centro de Custos],X!$E$14,Saidas[Status],X!$E$13)</f>
        <v>0</v>
      </c>
    </row>
    <row r="571">
      <c r="M571" s="277"/>
      <c r="N571" s="105">
        <f>SUMIFS(Entradas[Valores],Entradas[Cliente],M571,Entradas[Data da Competência],"&gt;="&amp;RESUMO!$C$4,Entradas[Data da Competência],"&lt;"&amp;RESUMO!$D$5,Entradas[Centro de Custos],X!$E$14,Entradas[Status],X!$E$13)</f>
        <v>0</v>
      </c>
      <c r="P571" s="277"/>
      <c r="Q571" s="105">
        <f>SUMIFS(Saidas[Valores],Saidas[Fornecedor],P571,Saidas[Data da Competência],"&gt;="&amp;RESUMO!$C$4,Saidas[Data da Competência],"&lt;"&amp;RESUMO!$D$5,Saidas[Centro de Custos],X!$E$14,Saidas[Status],X!$E$13)</f>
        <v>0</v>
      </c>
    </row>
    <row r="572">
      <c r="M572" s="277"/>
      <c r="N572" s="105">
        <f>SUMIFS(Entradas[Valores],Entradas[Cliente],M572,Entradas[Data da Competência],"&gt;="&amp;RESUMO!$C$4,Entradas[Data da Competência],"&lt;"&amp;RESUMO!$D$5,Entradas[Centro de Custos],X!$E$14,Entradas[Status],X!$E$13)</f>
        <v>0</v>
      </c>
      <c r="P572" s="277"/>
      <c r="Q572" s="105">
        <f>SUMIFS(Saidas[Valores],Saidas[Fornecedor],P572,Saidas[Data da Competência],"&gt;="&amp;RESUMO!$C$4,Saidas[Data da Competência],"&lt;"&amp;RESUMO!$D$5,Saidas[Centro de Custos],X!$E$14,Saidas[Status],X!$E$13)</f>
        <v>0</v>
      </c>
    </row>
    <row r="573">
      <c r="M573" s="277"/>
      <c r="N573" s="105">
        <f>SUMIFS(Entradas[Valores],Entradas[Cliente],M573,Entradas[Data da Competência],"&gt;="&amp;RESUMO!$C$4,Entradas[Data da Competência],"&lt;"&amp;RESUMO!$D$5,Entradas[Centro de Custos],X!$E$14,Entradas[Status],X!$E$13)</f>
        <v>0</v>
      </c>
      <c r="P573" s="277"/>
      <c r="Q573" s="105">
        <f>SUMIFS(Saidas[Valores],Saidas[Fornecedor],P573,Saidas[Data da Competência],"&gt;="&amp;RESUMO!$C$4,Saidas[Data da Competência],"&lt;"&amp;RESUMO!$D$5,Saidas[Centro de Custos],X!$E$14,Saidas[Status],X!$E$13)</f>
        <v>0</v>
      </c>
    </row>
    <row r="574">
      <c r="M574" s="277"/>
      <c r="N574" s="105">
        <f>SUMIFS(Entradas[Valores],Entradas[Cliente],M574,Entradas[Data da Competência],"&gt;="&amp;RESUMO!$C$4,Entradas[Data da Competência],"&lt;"&amp;RESUMO!$D$5,Entradas[Centro de Custos],X!$E$14,Entradas[Status],X!$E$13)</f>
        <v>0</v>
      </c>
      <c r="P574" s="277"/>
      <c r="Q574" s="105">
        <f>SUMIFS(Saidas[Valores],Saidas[Fornecedor],P574,Saidas[Data da Competência],"&gt;="&amp;RESUMO!$C$4,Saidas[Data da Competência],"&lt;"&amp;RESUMO!$D$5,Saidas[Centro de Custos],X!$E$14,Saidas[Status],X!$E$13)</f>
        <v>0</v>
      </c>
    </row>
    <row r="575">
      <c r="M575" s="277"/>
      <c r="N575" s="105">
        <f>SUMIFS(Entradas[Valores],Entradas[Cliente],M575,Entradas[Data da Competência],"&gt;="&amp;RESUMO!$C$4,Entradas[Data da Competência],"&lt;"&amp;RESUMO!$D$5,Entradas[Centro de Custos],X!$E$14,Entradas[Status],X!$E$13)</f>
        <v>0</v>
      </c>
      <c r="P575" s="277"/>
      <c r="Q575" s="105">
        <f>SUMIFS(Saidas[Valores],Saidas[Fornecedor],P575,Saidas[Data da Competência],"&gt;="&amp;RESUMO!$C$4,Saidas[Data da Competência],"&lt;"&amp;RESUMO!$D$5,Saidas[Centro de Custos],X!$E$14,Saidas[Status],X!$E$13)</f>
        <v>0</v>
      </c>
    </row>
    <row r="576">
      <c r="M576" s="277"/>
      <c r="N576" s="105">
        <f>SUMIFS(Entradas[Valores],Entradas[Cliente],M576,Entradas[Data da Competência],"&gt;="&amp;RESUMO!$C$4,Entradas[Data da Competência],"&lt;"&amp;RESUMO!$D$5,Entradas[Centro de Custos],X!$E$14,Entradas[Status],X!$E$13)</f>
        <v>0</v>
      </c>
      <c r="P576" s="277"/>
      <c r="Q576" s="105">
        <f>SUMIFS(Saidas[Valores],Saidas[Fornecedor],P576,Saidas[Data da Competência],"&gt;="&amp;RESUMO!$C$4,Saidas[Data da Competência],"&lt;"&amp;RESUMO!$D$5,Saidas[Centro de Custos],X!$E$14,Saidas[Status],X!$E$13)</f>
        <v>0</v>
      </c>
    </row>
    <row r="577">
      <c r="M577" s="277"/>
      <c r="N577" s="105">
        <f>SUMIFS(Entradas[Valores],Entradas[Cliente],M577,Entradas[Data da Competência],"&gt;="&amp;RESUMO!$C$4,Entradas[Data da Competência],"&lt;"&amp;RESUMO!$D$5,Entradas[Centro de Custos],X!$E$14,Entradas[Status],X!$E$13)</f>
        <v>0</v>
      </c>
      <c r="P577" s="277"/>
      <c r="Q577" s="105">
        <f>SUMIFS(Saidas[Valores],Saidas[Fornecedor],P577,Saidas[Data da Competência],"&gt;="&amp;RESUMO!$C$4,Saidas[Data da Competência],"&lt;"&amp;RESUMO!$D$5,Saidas[Centro de Custos],X!$E$14,Saidas[Status],X!$E$13)</f>
        <v>0</v>
      </c>
    </row>
    <row r="578">
      <c r="M578" s="277"/>
      <c r="N578" s="105">
        <f>SUMIFS(Entradas[Valores],Entradas[Cliente],M578,Entradas[Data da Competência],"&gt;="&amp;RESUMO!$C$4,Entradas[Data da Competência],"&lt;"&amp;RESUMO!$D$5,Entradas[Centro de Custos],X!$E$14,Entradas[Status],X!$E$13)</f>
        <v>0</v>
      </c>
      <c r="P578" s="277"/>
      <c r="Q578" s="105">
        <f>SUMIFS(Saidas[Valores],Saidas[Fornecedor],P578,Saidas[Data da Competência],"&gt;="&amp;RESUMO!$C$4,Saidas[Data da Competência],"&lt;"&amp;RESUMO!$D$5,Saidas[Centro de Custos],X!$E$14,Saidas[Status],X!$E$13)</f>
        <v>0</v>
      </c>
    </row>
    <row r="579">
      <c r="M579" s="277"/>
      <c r="N579" s="105">
        <f>SUMIFS(Entradas[Valores],Entradas[Cliente],M579,Entradas[Data da Competência],"&gt;="&amp;RESUMO!$C$4,Entradas[Data da Competência],"&lt;"&amp;RESUMO!$D$5,Entradas[Centro de Custos],X!$E$14,Entradas[Status],X!$E$13)</f>
        <v>0</v>
      </c>
      <c r="P579" s="277"/>
      <c r="Q579" s="105">
        <f>SUMIFS(Saidas[Valores],Saidas[Fornecedor],P579,Saidas[Data da Competência],"&gt;="&amp;RESUMO!$C$4,Saidas[Data da Competência],"&lt;"&amp;RESUMO!$D$5,Saidas[Centro de Custos],X!$E$14,Saidas[Status],X!$E$13)</f>
        <v>0</v>
      </c>
    </row>
    <row r="580">
      <c r="M580" s="277"/>
      <c r="N580" s="105">
        <f>SUMIFS(Entradas[Valores],Entradas[Cliente],M580,Entradas[Data da Competência],"&gt;="&amp;RESUMO!$C$4,Entradas[Data da Competência],"&lt;"&amp;RESUMO!$D$5,Entradas[Centro de Custos],X!$E$14,Entradas[Status],X!$E$13)</f>
        <v>0</v>
      </c>
      <c r="P580" s="277"/>
      <c r="Q580" s="105">
        <f>SUMIFS(Saidas[Valores],Saidas[Fornecedor],P580,Saidas[Data da Competência],"&gt;="&amp;RESUMO!$C$4,Saidas[Data da Competência],"&lt;"&amp;RESUMO!$D$5,Saidas[Centro de Custos],X!$E$14,Saidas[Status],X!$E$13)</f>
        <v>0</v>
      </c>
    </row>
    <row r="581">
      <c r="M581" s="277"/>
      <c r="N581" s="105">
        <f>SUMIFS(Entradas[Valores],Entradas[Cliente],M581,Entradas[Data da Competência],"&gt;="&amp;RESUMO!$C$4,Entradas[Data da Competência],"&lt;"&amp;RESUMO!$D$5,Entradas[Centro de Custos],X!$E$14,Entradas[Status],X!$E$13)</f>
        <v>0</v>
      </c>
      <c r="P581" s="277"/>
      <c r="Q581" s="105">
        <f>SUMIFS(Saidas[Valores],Saidas[Fornecedor],P581,Saidas[Data da Competência],"&gt;="&amp;RESUMO!$C$4,Saidas[Data da Competência],"&lt;"&amp;RESUMO!$D$5,Saidas[Centro de Custos],X!$E$14,Saidas[Status],X!$E$13)</f>
        <v>0</v>
      </c>
    </row>
    <row r="582">
      <c r="M582" s="277"/>
      <c r="N582" s="105">
        <f>SUMIFS(Entradas[Valores],Entradas[Cliente],M582,Entradas[Data da Competência],"&gt;="&amp;RESUMO!$C$4,Entradas[Data da Competência],"&lt;"&amp;RESUMO!$D$5,Entradas[Centro de Custos],X!$E$14,Entradas[Status],X!$E$13)</f>
        <v>0</v>
      </c>
      <c r="P582" s="277"/>
      <c r="Q582" s="105">
        <f>SUMIFS(Saidas[Valores],Saidas[Fornecedor],P582,Saidas[Data da Competência],"&gt;="&amp;RESUMO!$C$4,Saidas[Data da Competência],"&lt;"&amp;RESUMO!$D$5,Saidas[Centro de Custos],X!$E$14,Saidas[Status],X!$E$13)</f>
        <v>0</v>
      </c>
    </row>
    <row r="583">
      <c r="M583" s="277"/>
      <c r="N583" s="105">
        <f>SUMIFS(Entradas[Valores],Entradas[Cliente],M583,Entradas[Data da Competência],"&gt;="&amp;RESUMO!$C$4,Entradas[Data da Competência],"&lt;"&amp;RESUMO!$D$5,Entradas[Centro de Custos],X!$E$14,Entradas[Status],X!$E$13)</f>
        <v>0</v>
      </c>
      <c r="P583" s="277"/>
      <c r="Q583" s="105">
        <f>SUMIFS(Saidas[Valores],Saidas[Fornecedor],P583,Saidas[Data da Competência],"&gt;="&amp;RESUMO!$C$4,Saidas[Data da Competência],"&lt;"&amp;RESUMO!$D$5,Saidas[Centro de Custos],X!$E$14,Saidas[Status],X!$E$13)</f>
        <v>0</v>
      </c>
    </row>
    <row r="584">
      <c r="M584" s="277"/>
      <c r="N584" s="105">
        <f>SUMIFS(Entradas[Valores],Entradas[Cliente],M584,Entradas[Data da Competência],"&gt;="&amp;RESUMO!$C$4,Entradas[Data da Competência],"&lt;"&amp;RESUMO!$D$5,Entradas[Centro de Custos],X!$E$14,Entradas[Status],X!$E$13)</f>
        <v>0</v>
      </c>
      <c r="P584" s="277"/>
      <c r="Q584" s="105">
        <f>SUMIFS(Saidas[Valores],Saidas[Fornecedor],P584,Saidas[Data da Competência],"&gt;="&amp;RESUMO!$C$4,Saidas[Data da Competência],"&lt;"&amp;RESUMO!$D$5,Saidas[Centro de Custos],X!$E$14,Saidas[Status],X!$E$13)</f>
        <v>0</v>
      </c>
    </row>
    <row r="585">
      <c r="M585" s="277"/>
      <c r="N585" s="105">
        <f>SUMIFS(Entradas[Valores],Entradas[Cliente],M585,Entradas[Data da Competência],"&gt;="&amp;RESUMO!$C$4,Entradas[Data da Competência],"&lt;"&amp;RESUMO!$D$5,Entradas[Centro de Custos],X!$E$14,Entradas[Status],X!$E$13)</f>
        <v>0</v>
      </c>
      <c r="P585" s="277"/>
      <c r="Q585" s="105">
        <f>SUMIFS(Saidas[Valores],Saidas[Fornecedor],P585,Saidas[Data da Competência],"&gt;="&amp;RESUMO!$C$4,Saidas[Data da Competência],"&lt;"&amp;RESUMO!$D$5,Saidas[Centro de Custos],X!$E$14,Saidas[Status],X!$E$13)</f>
        <v>0</v>
      </c>
    </row>
    <row r="586">
      <c r="M586" s="277"/>
      <c r="N586" s="105">
        <f>SUMIFS(Entradas[Valores],Entradas[Cliente],M586,Entradas[Data da Competência],"&gt;="&amp;RESUMO!$C$4,Entradas[Data da Competência],"&lt;"&amp;RESUMO!$D$5,Entradas[Centro de Custos],X!$E$14,Entradas[Status],X!$E$13)</f>
        <v>0</v>
      </c>
      <c r="P586" s="277"/>
      <c r="Q586" s="105">
        <f>SUMIFS(Saidas[Valores],Saidas[Fornecedor],P586,Saidas[Data da Competência],"&gt;="&amp;RESUMO!$C$4,Saidas[Data da Competência],"&lt;"&amp;RESUMO!$D$5,Saidas[Centro de Custos],X!$E$14,Saidas[Status],X!$E$13)</f>
        <v>0</v>
      </c>
    </row>
    <row r="587">
      <c r="M587" s="277"/>
      <c r="N587" s="105">
        <f>SUMIFS(Entradas[Valores],Entradas[Cliente],M587,Entradas[Data da Competência],"&gt;="&amp;RESUMO!$C$4,Entradas[Data da Competência],"&lt;"&amp;RESUMO!$D$5,Entradas[Centro de Custos],X!$E$14,Entradas[Status],X!$E$13)</f>
        <v>0</v>
      </c>
      <c r="P587" s="277"/>
      <c r="Q587" s="105">
        <f>SUMIFS(Saidas[Valores],Saidas[Fornecedor],P587,Saidas[Data da Competência],"&gt;="&amp;RESUMO!$C$4,Saidas[Data da Competência],"&lt;"&amp;RESUMO!$D$5,Saidas[Centro de Custos],X!$E$14,Saidas[Status],X!$E$13)</f>
        <v>0</v>
      </c>
    </row>
    <row r="588">
      <c r="M588" s="277"/>
      <c r="N588" s="105">
        <f>SUMIFS(Entradas[Valores],Entradas[Cliente],M588,Entradas[Data da Competência],"&gt;="&amp;RESUMO!$C$4,Entradas[Data da Competência],"&lt;"&amp;RESUMO!$D$5,Entradas[Centro de Custos],X!$E$14,Entradas[Status],X!$E$13)</f>
        <v>0</v>
      </c>
      <c r="P588" s="277"/>
      <c r="Q588" s="105">
        <f>SUMIFS(Saidas[Valores],Saidas[Fornecedor],P588,Saidas[Data da Competência],"&gt;="&amp;RESUMO!$C$4,Saidas[Data da Competência],"&lt;"&amp;RESUMO!$D$5,Saidas[Centro de Custos],X!$E$14,Saidas[Status],X!$E$13)</f>
        <v>0</v>
      </c>
    </row>
    <row r="589">
      <c r="M589" s="277"/>
      <c r="N589" s="105">
        <f>SUMIFS(Entradas[Valores],Entradas[Cliente],M589,Entradas[Data da Competência],"&gt;="&amp;RESUMO!$C$4,Entradas[Data da Competência],"&lt;"&amp;RESUMO!$D$5,Entradas[Centro de Custos],X!$E$14,Entradas[Status],X!$E$13)</f>
        <v>0</v>
      </c>
      <c r="P589" s="277"/>
      <c r="Q589" s="105">
        <f>SUMIFS(Saidas[Valores],Saidas[Fornecedor],P589,Saidas[Data da Competência],"&gt;="&amp;RESUMO!$C$4,Saidas[Data da Competência],"&lt;"&amp;RESUMO!$D$5,Saidas[Centro de Custos],X!$E$14,Saidas[Status],X!$E$13)</f>
        <v>0</v>
      </c>
    </row>
    <row r="590">
      <c r="M590" s="277"/>
      <c r="N590" s="105">
        <f>SUMIFS(Entradas[Valores],Entradas[Cliente],M590,Entradas[Data da Competência],"&gt;="&amp;RESUMO!$C$4,Entradas[Data da Competência],"&lt;"&amp;RESUMO!$D$5,Entradas[Centro de Custos],X!$E$14,Entradas[Status],X!$E$13)</f>
        <v>0</v>
      </c>
      <c r="P590" s="277"/>
      <c r="Q590" s="105">
        <f>SUMIFS(Saidas[Valores],Saidas[Fornecedor],P590,Saidas[Data da Competência],"&gt;="&amp;RESUMO!$C$4,Saidas[Data da Competência],"&lt;"&amp;RESUMO!$D$5,Saidas[Centro de Custos],X!$E$14,Saidas[Status],X!$E$13)</f>
        <v>0</v>
      </c>
    </row>
    <row r="591">
      <c r="M591" s="277"/>
      <c r="N591" s="105">
        <f>SUMIFS(Entradas[Valores],Entradas[Cliente],M591,Entradas[Data da Competência],"&gt;="&amp;RESUMO!$C$4,Entradas[Data da Competência],"&lt;"&amp;RESUMO!$D$5,Entradas[Centro de Custos],X!$E$14,Entradas[Status],X!$E$13)</f>
        <v>0</v>
      </c>
      <c r="P591" s="277"/>
      <c r="Q591" s="105">
        <f>SUMIFS(Saidas[Valores],Saidas[Fornecedor],P591,Saidas[Data da Competência],"&gt;="&amp;RESUMO!$C$4,Saidas[Data da Competência],"&lt;"&amp;RESUMO!$D$5,Saidas[Centro de Custos],X!$E$14,Saidas[Status],X!$E$13)</f>
        <v>0</v>
      </c>
    </row>
    <row r="592">
      <c r="M592" s="277"/>
      <c r="N592" s="105">
        <f>SUMIFS(Entradas[Valores],Entradas[Cliente],M592,Entradas[Data da Competência],"&gt;="&amp;RESUMO!$C$4,Entradas[Data da Competência],"&lt;"&amp;RESUMO!$D$5,Entradas[Centro de Custos],X!$E$14,Entradas[Status],X!$E$13)</f>
        <v>0</v>
      </c>
      <c r="P592" s="277"/>
      <c r="Q592" s="105">
        <f>SUMIFS(Saidas[Valores],Saidas[Fornecedor],P592,Saidas[Data da Competência],"&gt;="&amp;RESUMO!$C$4,Saidas[Data da Competência],"&lt;"&amp;RESUMO!$D$5,Saidas[Centro de Custos],X!$E$14,Saidas[Status],X!$E$13)</f>
        <v>0</v>
      </c>
    </row>
    <row r="593">
      <c r="M593" s="277"/>
      <c r="N593" s="105">
        <f>SUMIFS(Entradas[Valores],Entradas[Cliente],M593,Entradas[Data da Competência],"&gt;="&amp;RESUMO!$C$4,Entradas[Data da Competência],"&lt;"&amp;RESUMO!$D$5,Entradas[Centro de Custos],X!$E$14,Entradas[Status],X!$E$13)</f>
        <v>0</v>
      </c>
      <c r="P593" s="277"/>
      <c r="Q593" s="105">
        <f>SUMIFS(Saidas[Valores],Saidas[Fornecedor],P593,Saidas[Data da Competência],"&gt;="&amp;RESUMO!$C$4,Saidas[Data da Competência],"&lt;"&amp;RESUMO!$D$5,Saidas[Centro de Custos],X!$E$14,Saidas[Status],X!$E$13)</f>
        <v>0</v>
      </c>
    </row>
    <row r="594">
      <c r="M594" s="277"/>
      <c r="N594" s="105">
        <f>SUMIFS(Entradas[Valores],Entradas[Cliente],M594,Entradas[Data da Competência],"&gt;="&amp;RESUMO!$C$4,Entradas[Data da Competência],"&lt;"&amp;RESUMO!$D$5,Entradas[Centro de Custos],X!$E$14,Entradas[Status],X!$E$13)</f>
        <v>0</v>
      </c>
      <c r="P594" s="277"/>
      <c r="Q594" s="105">
        <f>SUMIFS(Saidas[Valores],Saidas[Fornecedor],P594,Saidas[Data da Competência],"&gt;="&amp;RESUMO!$C$4,Saidas[Data da Competência],"&lt;"&amp;RESUMO!$D$5,Saidas[Centro de Custos],X!$E$14,Saidas[Status],X!$E$13)</f>
        <v>0</v>
      </c>
    </row>
    <row r="595">
      <c r="M595" s="277"/>
      <c r="N595" s="105">
        <f>SUMIFS(Entradas[Valores],Entradas[Cliente],M595,Entradas[Data da Competência],"&gt;="&amp;RESUMO!$C$4,Entradas[Data da Competência],"&lt;"&amp;RESUMO!$D$5,Entradas[Centro de Custos],X!$E$14,Entradas[Status],X!$E$13)</f>
        <v>0</v>
      </c>
      <c r="P595" s="277"/>
      <c r="Q595" s="105">
        <f>SUMIFS(Saidas[Valores],Saidas[Fornecedor],P595,Saidas[Data da Competência],"&gt;="&amp;RESUMO!$C$4,Saidas[Data da Competência],"&lt;"&amp;RESUMO!$D$5,Saidas[Centro de Custos],X!$E$14,Saidas[Status],X!$E$13)</f>
        <v>0</v>
      </c>
    </row>
    <row r="596">
      <c r="M596" s="277"/>
      <c r="N596" s="105">
        <f>SUMIFS(Entradas[Valores],Entradas[Cliente],M596,Entradas[Data da Competência],"&gt;="&amp;RESUMO!$C$4,Entradas[Data da Competência],"&lt;"&amp;RESUMO!$D$5,Entradas[Centro de Custos],X!$E$14,Entradas[Status],X!$E$13)</f>
        <v>0</v>
      </c>
      <c r="P596" s="277"/>
      <c r="Q596" s="105">
        <f>SUMIFS(Saidas[Valores],Saidas[Fornecedor],P596,Saidas[Data da Competência],"&gt;="&amp;RESUMO!$C$4,Saidas[Data da Competência],"&lt;"&amp;RESUMO!$D$5,Saidas[Centro de Custos],X!$E$14,Saidas[Status],X!$E$13)</f>
        <v>0</v>
      </c>
    </row>
    <row r="597">
      <c r="M597" s="277"/>
      <c r="N597" s="105">
        <f>SUMIFS(Entradas[Valores],Entradas[Cliente],M597,Entradas[Data da Competência],"&gt;="&amp;RESUMO!$C$4,Entradas[Data da Competência],"&lt;"&amp;RESUMO!$D$5,Entradas[Centro de Custos],X!$E$14,Entradas[Status],X!$E$13)</f>
        <v>0</v>
      </c>
      <c r="P597" s="277"/>
      <c r="Q597" s="105">
        <f>SUMIFS(Saidas[Valores],Saidas[Fornecedor],P597,Saidas[Data da Competência],"&gt;="&amp;RESUMO!$C$4,Saidas[Data da Competência],"&lt;"&amp;RESUMO!$D$5,Saidas[Centro de Custos],X!$E$14,Saidas[Status],X!$E$13)</f>
        <v>0</v>
      </c>
    </row>
    <row r="598">
      <c r="M598" s="277"/>
      <c r="N598" s="105">
        <f>SUMIFS(Entradas[Valores],Entradas[Cliente],M598,Entradas[Data da Competência],"&gt;="&amp;RESUMO!$C$4,Entradas[Data da Competência],"&lt;"&amp;RESUMO!$D$5,Entradas[Centro de Custos],X!$E$14,Entradas[Status],X!$E$13)</f>
        <v>0</v>
      </c>
      <c r="P598" s="277"/>
      <c r="Q598" s="105">
        <f>SUMIFS(Saidas[Valores],Saidas[Fornecedor],P598,Saidas[Data da Competência],"&gt;="&amp;RESUMO!$C$4,Saidas[Data da Competência],"&lt;"&amp;RESUMO!$D$5,Saidas[Centro de Custos],X!$E$14,Saidas[Status],X!$E$13)</f>
        <v>0</v>
      </c>
    </row>
    <row r="599">
      <c r="M599" s="277"/>
      <c r="N599" s="105">
        <f>SUMIFS(Entradas[Valores],Entradas[Cliente],M599,Entradas[Data da Competência],"&gt;="&amp;RESUMO!$C$4,Entradas[Data da Competência],"&lt;"&amp;RESUMO!$D$5,Entradas[Centro de Custos],X!$E$14,Entradas[Status],X!$E$13)</f>
        <v>0</v>
      </c>
      <c r="P599" s="277"/>
      <c r="Q599" s="105">
        <f>SUMIFS(Saidas[Valores],Saidas[Fornecedor],P599,Saidas[Data da Competência],"&gt;="&amp;RESUMO!$C$4,Saidas[Data da Competência],"&lt;"&amp;RESUMO!$D$5,Saidas[Centro de Custos],X!$E$14,Saidas[Status],X!$E$13)</f>
        <v>0</v>
      </c>
    </row>
    <row r="600">
      <c r="M600" s="277"/>
      <c r="N600" s="105">
        <f>SUMIFS(Entradas[Valores],Entradas[Cliente],M600,Entradas[Data da Competência],"&gt;="&amp;RESUMO!$C$4,Entradas[Data da Competência],"&lt;"&amp;RESUMO!$D$5,Entradas[Centro de Custos],X!$E$14,Entradas[Status],X!$E$13)</f>
        <v>0</v>
      </c>
      <c r="P600" s="277"/>
      <c r="Q600" s="105">
        <f>SUMIFS(Saidas[Valores],Saidas[Fornecedor],P600,Saidas[Data da Competência],"&gt;="&amp;RESUMO!$C$4,Saidas[Data da Competência],"&lt;"&amp;RESUMO!$D$5,Saidas[Centro de Custos],X!$E$14,Saidas[Status],X!$E$13)</f>
        <v>0</v>
      </c>
    </row>
    <row r="601">
      <c r="M601" s="277"/>
      <c r="N601" s="105">
        <f>SUMIFS(Entradas[Valores],Entradas[Cliente],M601,Entradas[Data da Competência],"&gt;="&amp;RESUMO!$C$4,Entradas[Data da Competência],"&lt;"&amp;RESUMO!$D$5,Entradas[Centro de Custos],X!$E$14,Entradas[Status],X!$E$13)</f>
        <v>0</v>
      </c>
      <c r="P601" s="277"/>
      <c r="Q601" s="105">
        <f>SUMIFS(Saidas[Valores],Saidas[Fornecedor],P601,Saidas[Data da Competência],"&gt;="&amp;RESUMO!$C$4,Saidas[Data da Competência],"&lt;"&amp;RESUMO!$D$5,Saidas[Centro de Custos],X!$E$14,Saidas[Status],X!$E$13)</f>
        <v>0</v>
      </c>
    </row>
    <row r="602">
      <c r="M602" s="277"/>
      <c r="N602" s="105">
        <f>SUMIFS(Entradas[Valores],Entradas[Cliente],M602,Entradas[Data da Competência],"&gt;="&amp;RESUMO!$C$4,Entradas[Data da Competência],"&lt;"&amp;RESUMO!$D$5,Entradas[Centro de Custos],X!$E$14,Entradas[Status],X!$E$13)</f>
        <v>0</v>
      </c>
      <c r="P602" s="277"/>
      <c r="Q602" s="105">
        <f>SUMIFS(Saidas[Valores],Saidas[Fornecedor],P602,Saidas[Data da Competência],"&gt;="&amp;RESUMO!$C$4,Saidas[Data da Competência],"&lt;"&amp;RESUMO!$D$5,Saidas[Centro de Custos],X!$E$14,Saidas[Status],X!$E$13)</f>
        <v>0</v>
      </c>
    </row>
    <row r="603">
      <c r="M603" s="277"/>
      <c r="N603" s="105">
        <f>SUMIFS(Entradas[Valores],Entradas[Cliente],M603,Entradas[Data da Competência],"&gt;="&amp;RESUMO!$C$4,Entradas[Data da Competência],"&lt;"&amp;RESUMO!$D$5,Entradas[Centro de Custos],X!$E$14,Entradas[Status],X!$E$13)</f>
        <v>0</v>
      </c>
      <c r="P603" s="277"/>
      <c r="Q603" s="105">
        <f>SUMIFS(Saidas[Valores],Saidas[Fornecedor],P603,Saidas[Data da Competência],"&gt;="&amp;RESUMO!$C$4,Saidas[Data da Competência],"&lt;"&amp;RESUMO!$D$5,Saidas[Centro de Custos],X!$E$14,Saidas[Status],X!$E$13)</f>
        <v>0</v>
      </c>
    </row>
    <row r="604">
      <c r="M604" s="277"/>
      <c r="N604" s="105">
        <f>SUMIFS(Entradas[Valores],Entradas[Cliente],M604,Entradas[Data da Competência],"&gt;="&amp;RESUMO!$C$4,Entradas[Data da Competência],"&lt;"&amp;RESUMO!$D$5,Entradas[Centro de Custos],X!$E$14,Entradas[Status],X!$E$13)</f>
        <v>0</v>
      </c>
      <c r="P604" s="277"/>
      <c r="Q604" s="105">
        <f>SUMIFS(Saidas[Valores],Saidas[Fornecedor],P604,Saidas[Data da Competência],"&gt;="&amp;RESUMO!$C$4,Saidas[Data da Competência],"&lt;"&amp;RESUMO!$D$5,Saidas[Centro de Custos],X!$E$14,Saidas[Status],X!$E$13)</f>
        <v>0</v>
      </c>
    </row>
    <row r="605">
      <c r="M605" s="277"/>
      <c r="N605" s="105">
        <f>SUMIFS(Entradas[Valores],Entradas[Cliente],M605,Entradas[Data da Competência],"&gt;="&amp;RESUMO!$C$4,Entradas[Data da Competência],"&lt;"&amp;RESUMO!$D$5,Entradas[Centro de Custos],X!$E$14,Entradas[Status],X!$E$13)</f>
        <v>0</v>
      </c>
      <c r="P605" s="277"/>
      <c r="Q605" s="105">
        <f>SUMIFS(Saidas[Valores],Saidas[Fornecedor],P605,Saidas[Data da Competência],"&gt;="&amp;RESUMO!$C$4,Saidas[Data da Competência],"&lt;"&amp;RESUMO!$D$5,Saidas[Centro de Custos],X!$E$14,Saidas[Status],X!$E$13)</f>
        <v>0</v>
      </c>
    </row>
    <row r="606">
      <c r="M606" s="277"/>
      <c r="N606" s="105">
        <f>SUMIFS(Entradas[Valores],Entradas[Cliente],M606,Entradas[Data da Competência],"&gt;="&amp;RESUMO!$C$4,Entradas[Data da Competência],"&lt;"&amp;RESUMO!$D$5,Entradas[Centro de Custos],X!$E$14,Entradas[Status],X!$E$13)</f>
        <v>0</v>
      </c>
      <c r="P606" s="277"/>
      <c r="Q606" s="105">
        <f>SUMIFS(Saidas[Valores],Saidas[Fornecedor],P606,Saidas[Data da Competência],"&gt;="&amp;RESUMO!$C$4,Saidas[Data da Competência],"&lt;"&amp;RESUMO!$D$5,Saidas[Centro de Custos],X!$E$14,Saidas[Status],X!$E$13)</f>
        <v>0</v>
      </c>
    </row>
    <row r="607">
      <c r="M607" s="277"/>
      <c r="N607" s="105">
        <f>SUMIFS(Entradas[Valores],Entradas[Cliente],M607,Entradas[Data da Competência],"&gt;="&amp;RESUMO!$C$4,Entradas[Data da Competência],"&lt;"&amp;RESUMO!$D$5,Entradas[Centro de Custos],X!$E$14,Entradas[Status],X!$E$13)</f>
        <v>0</v>
      </c>
      <c r="P607" s="277"/>
      <c r="Q607" s="105">
        <f>SUMIFS(Saidas[Valores],Saidas[Fornecedor],P607,Saidas[Data da Competência],"&gt;="&amp;RESUMO!$C$4,Saidas[Data da Competência],"&lt;"&amp;RESUMO!$D$5,Saidas[Centro de Custos],X!$E$14,Saidas[Status],X!$E$13)</f>
        <v>0</v>
      </c>
    </row>
    <row r="608">
      <c r="M608" s="277"/>
      <c r="N608" s="105">
        <f>SUMIFS(Entradas[Valores],Entradas[Cliente],M608,Entradas[Data da Competência],"&gt;="&amp;RESUMO!$C$4,Entradas[Data da Competência],"&lt;"&amp;RESUMO!$D$5,Entradas[Centro de Custos],X!$E$14,Entradas[Status],X!$E$13)</f>
        <v>0</v>
      </c>
      <c r="P608" s="277"/>
      <c r="Q608" s="105">
        <f>SUMIFS(Saidas[Valores],Saidas[Fornecedor],P608,Saidas[Data da Competência],"&gt;="&amp;RESUMO!$C$4,Saidas[Data da Competência],"&lt;"&amp;RESUMO!$D$5,Saidas[Centro de Custos],X!$E$14,Saidas[Status],X!$E$13)</f>
        <v>0</v>
      </c>
    </row>
    <row r="609">
      <c r="M609" s="277"/>
      <c r="N609" s="105">
        <f>SUMIFS(Entradas[Valores],Entradas[Cliente],M609,Entradas[Data da Competência],"&gt;="&amp;RESUMO!$C$4,Entradas[Data da Competência],"&lt;"&amp;RESUMO!$D$5,Entradas[Centro de Custos],X!$E$14,Entradas[Status],X!$E$13)</f>
        <v>0</v>
      </c>
      <c r="P609" s="277"/>
      <c r="Q609" s="105">
        <f>SUMIFS(Saidas[Valores],Saidas[Fornecedor],P609,Saidas[Data da Competência],"&gt;="&amp;RESUMO!$C$4,Saidas[Data da Competência],"&lt;"&amp;RESUMO!$D$5,Saidas[Centro de Custos],X!$E$14,Saidas[Status],X!$E$13)</f>
        <v>0</v>
      </c>
    </row>
    <row r="610">
      <c r="M610" s="277"/>
      <c r="N610" s="105">
        <f>SUMIFS(Entradas[Valores],Entradas[Cliente],M610,Entradas[Data da Competência],"&gt;="&amp;RESUMO!$C$4,Entradas[Data da Competência],"&lt;"&amp;RESUMO!$D$5,Entradas[Centro de Custos],X!$E$14,Entradas[Status],X!$E$13)</f>
        <v>0</v>
      </c>
      <c r="P610" s="277"/>
      <c r="Q610" s="105">
        <f>SUMIFS(Saidas[Valores],Saidas[Fornecedor],P610,Saidas[Data da Competência],"&gt;="&amp;RESUMO!$C$4,Saidas[Data da Competência],"&lt;"&amp;RESUMO!$D$5,Saidas[Centro de Custos],X!$E$14,Saidas[Status],X!$E$13)</f>
        <v>0</v>
      </c>
    </row>
    <row r="611">
      <c r="M611" s="277"/>
      <c r="N611" s="105">
        <f>SUMIFS(Entradas[Valores],Entradas[Cliente],M611,Entradas[Data da Competência],"&gt;="&amp;RESUMO!$C$4,Entradas[Data da Competência],"&lt;"&amp;RESUMO!$D$5,Entradas[Centro de Custos],X!$E$14,Entradas[Status],X!$E$13)</f>
        <v>0</v>
      </c>
      <c r="P611" s="277"/>
      <c r="Q611" s="105">
        <f>SUMIFS(Saidas[Valores],Saidas[Fornecedor],P611,Saidas[Data da Competência],"&gt;="&amp;RESUMO!$C$4,Saidas[Data da Competência],"&lt;"&amp;RESUMO!$D$5,Saidas[Centro de Custos],X!$E$14,Saidas[Status],X!$E$13)</f>
        <v>0</v>
      </c>
    </row>
    <row r="612">
      <c r="M612" s="277"/>
      <c r="N612" s="105">
        <f>SUMIFS(Entradas[Valores],Entradas[Cliente],M612,Entradas[Data da Competência],"&gt;="&amp;RESUMO!$C$4,Entradas[Data da Competência],"&lt;"&amp;RESUMO!$D$5,Entradas[Centro de Custos],X!$E$14,Entradas[Status],X!$E$13)</f>
        <v>0</v>
      </c>
      <c r="P612" s="277"/>
      <c r="Q612" s="105">
        <f>SUMIFS(Saidas[Valores],Saidas[Fornecedor],P612,Saidas[Data da Competência],"&gt;="&amp;RESUMO!$C$4,Saidas[Data da Competência],"&lt;"&amp;RESUMO!$D$5,Saidas[Centro de Custos],X!$E$14,Saidas[Status],X!$E$13)</f>
        <v>0</v>
      </c>
    </row>
    <row r="613">
      <c r="M613" s="277"/>
      <c r="N613" s="105">
        <f>SUMIFS(Entradas[Valores],Entradas[Cliente],M613,Entradas[Data da Competência],"&gt;="&amp;RESUMO!$C$4,Entradas[Data da Competência],"&lt;"&amp;RESUMO!$D$5,Entradas[Centro de Custos],X!$E$14,Entradas[Status],X!$E$13)</f>
        <v>0</v>
      </c>
      <c r="P613" s="277"/>
      <c r="Q613" s="105">
        <f>SUMIFS(Saidas[Valores],Saidas[Fornecedor],P613,Saidas[Data da Competência],"&gt;="&amp;RESUMO!$C$4,Saidas[Data da Competência],"&lt;"&amp;RESUMO!$D$5,Saidas[Centro de Custos],X!$E$14,Saidas[Status],X!$E$13)</f>
        <v>0</v>
      </c>
    </row>
    <row r="614">
      <c r="M614" s="277"/>
      <c r="N614" s="105">
        <f>SUMIFS(Entradas[Valores],Entradas[Cliente],M614,Entradas[Data da Competência],"&gt;="&amp;RESUMO!$C$4,Entradas[Data da Competência],"&lt;"&amp;RESUMO!$D$5,Entradas[Centro de Custos],X!$E$14,Entradas[Status],X!$E$13)</f>
        <v>0</v>
      </c>
      <c r="P614" s="277"/>
      <c r="Q614" s="105">
        <f>SUMIFS(Saidas[Valores],Saidas[Fornecedor],P614,Saidas[Data da Competência],"&gt;="&amp;RESUMO!$C$4,Saidas[Data da Competência],"&lt;"&amp;RESUMO!$D$5,Saidas[Centro de Custos],X!$E$14,Saidas[Status],X!$E$13)</f>
        <v>0</v>
      </c>
    </row>
    <row r="615">
      <c r="M615" s="277"/>
      <c r="N615" s="105">
        <f>SUMIFS(Entradas[Valores],Entradas[Cliente],M615,Entradas[Data da Competência],"&gt;="&amp;RESUMO!$C$4,Entradas[Data da Competência],"&lt;"&amp;RESUMO!$D$5,Entradas[Centro de Custos],X!$E$14,Entradas[Status],X!$E$13)</f>
        <v>0</v>
      </c>
      <c r="P615" s="277"/>
      <c r="Q615" s="105">
        <f>SUMIFS(Saidas[Valores],Saidas[Fornecedor],P615,Saidas[Data da Competência],"&gt;="&amp;RESUMO!$C$4,Saidas[Data da Competência],"&lt;"&amp;RESUMO!$D$5,Saidas[Centro de Custos],X!$E$14,Saidas[Status],X!$E$13)</f>
        <v>0</v>
      </c>
    </row>
    <row r="616">
      <c r="M616" s="277"/>
      <c r="N616" s="105">
        <f>SUMIFS(Entradas[Valores],Entradas[Cliente],M616,Entradas[Data da Competência],"&gt;="&amp;RESUMO!$C$4,Entradas[Data da Competência],"&lt;"&amp;RESUMO!$D$5,Entradas[Centro de Custos],X!$E$14,Entradas[Status],X!$E$13)</f>
        <v>0</v>
      </c>
      <c r="P616" s="277"/>
      <c r="Q616" s="105">
        <f>SUMIFS(Saidas[Valores],Saidas[Fornecedor],P616,Saidas[Data da Competência],"&gt;="&amp;RESUMO!$C$4,Saidas[Data da Competência],"&lt;"&amp;RESUMO!$D$5,Saidas[Centro de Custos],X!$E$14,Saidas[Status],X!$E$13)</f>
        <v>0</v>
      </c>
    </row>
    <row r="617">
      <c r="M617" s="277"/>
      <c r="N617" s="105">
        <f>SUMIFS(Entradas[Valores],Entradas[Cliente],M617,Entradas[Data da Competência],"&gt;="&amp;RESUMO!$C$4,Entradas[Data da Competência],"&lt;"&amp;RESUMO!$D$5,Entradas[Centro de Custos],X!$E$14,Entradas[Status],X!$E$13)</f>
        <v>0</v>
      </c>
      <c r="P617" s="277"/>
      <c r="Q617" s="105">
        <f>SUMIFS(Saidas[Valores],Saidas[Fornecedor],P617,Saidas[Data da Competência],"&gt;="&amp;RESUMO!$C$4,Saidas[Data da Competência],"&lt;"&amp;RESUMO!$D$5,Saidas[Centro de Custos],X!$E$14,Saidas[Status],X!$E$13)</f>
        <v>0</v>
      </c>
    </row>
    <row r="618">
      <c r="M618" s="277"/>
      <c r="N618" s="105">
        <f>SUMIFS(Entradas[Valores],Entradas[Cliente],M618,Entradas[Data da Competência],"&gt;="&amp;RESUMO!$C$4,Entradas[Data da Competência],"&lt;"&amp;RESUMO!$D$5,Entradas[Centro de Custos],X!$E$14,Entradas[Status],X!$E$13)</f>
        <v>0</v>
      </c>
      <c r="P618" s="277"/>
      <c r="Q618" s="105">
        <f>SUMIFS(Saidas[Valores],Saidas[Fornecedor],P618,Saidas[Data da Competência],"&gt;="&amp;RESUMO!$C$4,Saidas[Data da Competência],"&lt;"&amp;RESUMO!$D$5,Saidas[Centro de Custos],X!$E$14,Saidas[Status],X!$E$13)</f>
        <v>0</v>
      </c>
    </row>
    <row r="619">
      <c r="M619" s="277"/>
      <c r="N619" s="105">
        <f>SUMIFS(Entradas[Valores],Entradas[Cliente],M619,Entradas[Data da Competência],"&gt;="&amp;RESUMO!$C$4,Entradas[Data da Competência],"&lt;"&amp;RESUMO!$D$5,Entradas[Centro de Custos],X!$E$14,Entradas[Status],X!$E$13)</f>
        <v>0</v>
      </c>
      <c r="P619" s="277"/>
      <c r="Q619" s="105">
        <f>SUMIFS(Saidas[Valores],Saidas[Fornecedor],P619,Saidas[Data da Competência],"&gt;="&amp;RESUMO!$C$4,Saidas[Data da Competência],"&lt;"&amp;RESUMO!$D$5,Saidas[Centro de Custos],X!$E$14,Saidas[Status],X!$E$13)</f>
        <v>0</v>
      </c>
    </row>
    <row r="620">
      <c r="M620" s="277"/>
      <c r="N620" s="105">
        <f>SUMIFS(Entradas[Valores],Entradas[Cliente],M620,Entradas[Data da Competência],"&gt;="&amp;RESUMO!$C$4,Entradas[Data da Competência],"&lt;"&amp;RESUMO!$D$5,Entradas[Centro de Custos],X!$E$14,Entradas[Status],X!$E$13)</f>
        <v>0</v>
      </c>
      <c r="P620" s="277"/>
      <c r="Q620" s="105">
        <f>SUMIFS(Saidas[Valores],Saidas[Fornecedor],P620,Saidas[Data da Competência],"&gt;="&amp;RESUMO!$C$4,Saidas[Data da Competência],"&lt;"&amp;RESUMO!$D$5,Saidas[Centro de Custos],X!$E$14,Saidas[Status],X!$E$13)</f>
        <v>0</v>
      </c>
    </row>
    <row r="621">
      <c r="M621" s="277"/>
      <c r="N621" s="105">
        <f>SUMIFS(Entradas[Valores],Entradas[Cliente],M621,Entradas[Data da Competência],"&gt;="&amp;RESUMO!$C$4,Entradas[Data da Competência],"&lt;"&amp;RESUMO!$D$5,Entradas[Centro de Custos],X!$E$14,Entradas[Status],X!$E$13)</f>
        <v>0</v>
      </c>
      <c r="P621" s="277"/>
      <c r="Q621" s="105">
        <f>SUMIFS(Saidas[Valores],Saidas[Fornecedor],P621,Saidas[Data da Competência],"&gt;="&amp;RESUMO!$C$4,Saidas[Data da Competência],"&lt;"&amp;RESUMO!$D$5,Saidas[Centro de Custos],X!$E$14,Saidas[Status],X!$E$13)</f>
        <v>0</v>
      </c>
    </row>
    <row r="622">
      <c r="M622" s="277"/>
      <c r="N622" s="105">
        <f>SUMIFS(Entradas[Valores],Entradas[Cliente],M622,Entradas[Data da Competência],"&gt;="&amp;RESUMO!$C$4,Entradas[Data da Competência],"&lt;"&amp;RESUMO!$D$5,Entradas[Centro de Custos],X!$E$14,Entradas[Status],X!$E$13)</f>
        <v>0</v>
      </c>
      <c r="P622" s="277"/>
      <c r="Q622" s="105">
        <f>SUMIFS(Saidas[Valores],Saidas[Fornecedor],P622,Saidas[Data da Competência],"&gt;="&amp;RESUMO!$C$4,Saidas[Data da Competência],"&lt;"&amp;RESUMO!$D$5,Saidas[Centro de Custos],X!$E$14,Saidas[Status],X!$E$13)</f>
        <v>0</v>
      </c>
    </row>
    <row r="623">
      <c r="M623" s="277"/>
      <c r="N623" s="105">
        <f>SUMIFS(Entradas[Valores],Entradas[Cliente],M623,Entradas[Data da Competência],"&gt;="&amp;RESUMO!$C$4,Entradas[Data da Competência],"&lt;"&amp;RESUMO!$D$5,Entradas[Centro de Custos],X!$E$14,Entradas[Status],X!$E$13)</f>
        <v>0</v>
      </c>
      <c r="P623" s="277"/>
      <c r="Q623" s="105">
        <f>SUMIFS(Saidas[Valores],Saidas[Fornecedor],P623,Saidas[Data da Competência],"&gt;="&amp;RESUMO!$C$4,Saidas[Data da Competência],"&lt;"&amp;RESUMO!$D$5,Saidas[Centro de Custos],X!$E$14,Saidas[Status],X!$E$13)</f>
        <v>0</v>
      </c>
    </row>
    <row r="624">
      <c r="M624" s="277"/>
      <c r="N624" s="105">
        <f>SUMIFS(Entradas[Valores],Entradas[Cliente],M624,Entradas[Data da Competência],"&gt;="&amp;RESUMO!$C$4,Entradas[Data da Competência],"&lt;"&amp;RESUMO!$D$5,Entradas[Centro de Custos],X!$E$14,Entradas[Status],X!$E$13)</f>
        <v>0</v>
      </c>
      <c r="P624" s="277"/>
      <c r="Q624" s="105">
        <f>SUMIFS(Saidas[Valores],Saidas[Fornecedor],P624,Saidas[Data da Competência],"&gt;="&amp;RESUMO!$C$4,Saidas[Data da Competência],"&lt;"&amp;RESUMO!$D$5,Saidas[Centro de Custos],X!$E$14,Saidas[Status],X!$E$13)</f>
        <v>0</v>
      </c>
    </row>
    <row r="625">
      <c r="M625" s="277"/>
      <c r="N625" s="105">
        <f>SUMIFS(Entradas[Valores],Entradas[Cliente],M625,Entradas[Data da Competência],"&gt;="&amp;RESUMO!$C$4,Entradas[Data da Competência],"&lt;"&amp;RESUMO!$D$5,Entradas[Centro de Custos],X!$E$14,Entradas[Status],X!$E$13)</f>
        <v>0</v>
      </c>
      <c r="P625" s="277"/>
      <c r="Q625" s="105">
        <f>SUMIFS(Saidas[Valores],Saidas[Fornecedor],P625,Saidas[Data da Competência],"&gt;="&amp;RESUMO!$C$4,Saidas[Data da Competência],"&lt;"&amp;RESUMO!$D$5,Saidas[Centro de Custos],X!$E$14,Saidas[Status],X!$E$13)</f>
        <v>0</v>
      </c>
    </row>
    <row r="626">
      <c r="M626" s="277"/>
      <c r="N626" s="105">
        <f>SUMIFS(Entradas[Valores],Entradas[Cliente],M626,Entradas[Data da Competência],"&gt;="&amp;RESUMO!$C$4,Entradas[Data da Competência],"&lt;"&amp;RESUMO!$D$5,Entradas[Centro de Custos],X!$E$14,Entradas[Status],X!$E$13)</f>
        <v>0</v>
      </c>
      <c r="P626" s="277"/>
      <c r="Q626" s="105">
        <f>SUMIFS(Saidas[Valores],Saidas[Fornecedor],P626,Saidas[Data da Competência],"&gt;="&amp;RESUMO!$C$4,Saidas[Data da Competência],"&lt;"&amp;RESUMO!$D$5,Saidas[Centro de Custos],X!$E$14,Saidas[Status],X!$E$13)</f>
        <v>0</v>
      </c>
    </row>
    <row r="627">
      <c r="M627" s="277"/>
      <c r="N627" s="105">
        <f>SUMIFS(Entradas[Valores],Entradas[Cliente],M627,Entradas[Data da Competência],"&gt;="&amp;RESUMO!$C$4,Entradas[Data da Competência],"&lt;"&amp;RESUMO!$D$5,Entradas[Centro de Custos],X!$E$14,Entradas[Status],X!$E$13)</f>
        <v>0</v>
      </c>
      <c r="P627" s="277"/>
      <c r="Q627" s="105">
        <f>SUMIFS(Saidas[Valores],Saidas[Fornecedor],P627,Saidas[Data da Competência],"&gt;="&amp;RESUMO!$C$4,Saidas[Data da Competência],"&lt;"&amp;RESUMO!$D$5,Saidas[Centro de Custos],X!$E$14,Saidas[Status],X!$E$13)</f>
        <v>0</v>
      </c>
    </row>
    <row r="628">
      <c r="M628" s="277"/>
      <c r="N628" s="105">
        <f>SUMIFS(Entradas[Valores],Entradas[Cliente],M628,Entradas[Data da Competência],"&gt;="&amp;RESUMO!$C$4,Entradas[Data da Competência],"&lt;"&amp;RESUMO!$D$5,Entradas[Centro de Custos],X!$E$14,Entradas[Status],X!$E$13)</f>
        <v>0</v>
      </c>
      <c r="P628" s="277"/>
      <c r="Q628" s="105">
        <f>SUMIFS(Saidas[Valores],Saidas[Fornecedor],P628,Saidas[Data da Competência],"&gt;="&amp;RESUMO!$C$4,Saidas[Data da Competência],"&lt;"&amp;RESUMO!$D$5,Saidas[Centro de Custos],X!$E$14,Saidas[Status],X!$E$13)</f>
        <v>0</v>
      </c>
    </row>
    <row r="629">
      <c r="M629" s="277"/>
      <c r="N629" s="105">
        <f>SUMIFS(Entradas[Valores],Entradas[Cliente],M629,Entradas[Data da Competência],"&gt;="&amp;RESUMO!$C$4,Entradas[Data da Competência],"&lt;"&amp;RESUMO!$D$5,Entradas[Centro de Custos],X!$E$14,Entradas[Status],X!$E$13)</f>
        <v>0</v>
      </c>
      <c r="P629" s="277"/>
      <c r="Q629" s="105">
        <f>SUMIFS(Saidas[Valores],Saidas[Fornecedor],P629,Saidas[Data da Competência],"&gt;="&amp;RESUMO!$C$4,Saidas[Data da Competência],"&lt;"&amp;RESUMO!$D$5,Saidas[Centro de Custos],X!$E$14,Saidas[Status],X!$E$13)</f>
        <v>0</v>
      </c>
    </row>
    <row r="630">
      <c r="M630" s="277"/>
      <c r="N630" s="105">
        <f>SUMIFS(Entradas[Valores],Entradas[Cliente],M630,Entradas[Data da Competência],"&gt;="&amp;RESUMO!$C$4,Entradas[Data da Competência],"&lt;"&amp;RESUMO!$D$5,Entradas[Centro de Custos],X!$E$14,Entradas[Status],X!$E$13)</f>
        <v>0</v>
      </c>
      <c r="P630" s="277"/>
      <c r="Q630" s="105">
        <f>SUMIFS(Saidas[Valores],Saidas[Fornecedor],P630,Saidas[Data da Competência],"&gt;="&amp;RESUMO!$C$4,Saidas[Data da Competência],"&lt;"&amp;RESUMO!$D$5,Saidas[Centro de Custos],X!$E$14,Saidas[Status],X!$E$13)</f>
        <v>0</v>
      </c>
    </row>
    <row r="631">
      <c r="M631" s="277"/>
      <c r="N631" s="105">
        <f>SUMIFS(Entradas[Valores],Entradas[Cliente],M631,Entradas[Data da Competência],"&gt;="&amp;RESUMO!$C$4,Entradas[Data da Competência],"&lt;"&amp;RESUMO!$D$5,Entradas[Centro de Custos],X!$E$14,Entradas[Status],X!$E$13)</f>
        <v>0</v>
      </c>
      <c r="P631" s="277"/>
      <c r="Q631" s="105">
        <f>SUMIFS(Saidas[Valores],Saidas[Fornecedor],P631,Saidas[Data da Competência],"&gt;="&amp;RESUMO!$C$4,Saidas[Data da Competência],"&lt;"&amp;RESUMO!$D$5,Saidas[Centro de Custos],X!$E$14,Saidas[Status],X!$E$13)</f>
        <v>0</v>
      </c>
    </row>
    <row r="632">
      <c r="M632" s="277"/>
      <c r="N632" s="105">
        <f>SUMIFS(Entradas[Valores],Entradas[Cliente],M632,Entradas[Data da Competência],"&gt;="&amp;RESUMO!$C$4,Entradas[Data da Competência],"&lt;"&amp;RESUMO!$D$5,Entradas[Centro de Custos],X!$E$14,Entradas[Status],X!$E$13)</f>
        <v>0</v>
      </c>
      <c r="P632" s="277"/>
      <c r="Q632" s="105">
        <f>SUMIFS(Saidas[Valores],Saidas[Fornecedor],P632,Saidas[Data da Competência],"&gt;="&amp;RESUMO!$C$4,Saidas[Data da Competência],"&lt;"&amp;RESUMO!$D$5,Saidas[Centro de Custos],X!$E$14,Saidas[Status],X!$E$13)</f>
        <v>0</v>
      </c>
    </row>
    <row r="633">
      <c r="M633" s="277"/>
      <c r="N633" s="105">
        <f>SUMIFS(Entradas[Valores],Entradas[Cliente],M633,Entradas[Data da Competência],"&gt;="&amp;RESUMO!$C$4,Entradas[Data da Competência],"&lt;"&amp;RESUMO!$D$5,Entradas[Centro de Custos],X!$E$14,Entradas[Status],X!$E$13)</f>
        <v>0</v>
      </c>
      <c r="P633" s="277"/>
      <c r="Q633" s="105">
        <f>SUMIFS(Saidas[Valores],Saidas[Fornecedor],P633,Saidas[Data da Competência],"&gt;="&amp;RESUMO!$C$4,Saidas[Data da Competência],"&lt;"&amp;RESUMO!$D$5,Saidas[Centro de Custos],X!$E$14,Saidas[Status],X!$E$13)</f>
        <v>0</v>
      </c>
    </row>
    <row r="634">
      <c r="M634" s="277"/>
      <c r="N634" s="105">
        <f>SUMIFS(Entradas[Valores],Entradas[Cliente],M634,Entradas[Data da Competência],"&gt;="&amp;RESUMO!$C$4,Entradas[Data da Competência],"&lt;"&amp;RESUMO!$D$5,Entradas[Centro de Custos],X!$E$14,Entradas[Status],X!$E$13)</f>
        <v>0</v>
      </c>
      <c r="P634" s="277"/>
      <c r="Q634" s="105">
        <f>SUMIFS(Saidas[Valores],Saidas[Fornecedor],P634,Saidas[Data da Competência],"&gt;="&amp;RESUMO!$C$4,Saidas[Data da Competência],"&lt;"&amp;RESUMO!$D$5,Saidas[Centro de Custos],X!$E$14,Saidas[Status],X!$E$13)</f>
        <v>0</v>
      </c>
    </row>
    <row r="635">
      <c r="M635" s="277"/>
      <c r="N635" s="105">
        <f>SUMIFS(Entradas[Valores],Entradas[Cliente],M635,Entradas[Data da Competência],"&gt;="&amp;RESUMO!$C$4,Entradas[Data da Competência],"&lt;"&amp;RESUMO!$D$5,Entradas[Centro de Custos],X!$E$14,Entradas[Status],X!$E$13)</f>
        <v>0</v>
      </c>
      <c r="P635" s="277"/>
      <c r="Q635" s="105">
        <f>SUMIFS(Saidas[Valores],Saidas[Fornecedor],P635,Saidas[Data da Competência],"&gt;="&amp;RESUMO!$C$4,Saidas[Data da Competência],"&lt;"&amp;RESUMO!$D$5,Saidas[Centro de Custos],X!$E$14,Saidas[Status],X!$E$13)</f>
        <v>0</v>
      </c>
    </row>
    <row r="636">
      <c r="M636" s="277"/>
      <c r="N636" s="105">
        <f>SUMIFS(Entradas[Valores],Entradas[Cliente],M636,Entradas[Data da Competência],"&gt;="&amp;RESUMO!$C$4,Entradas[Data da Competência],"&lt;"&amp;RESUMO!$D$5,Entradas[Centro de Custos],X!$E$14,Entradas[Status],X!$E$13)</f>
        <v>0</v>
      </c>
      <c r="P636" s="277"/>
      <c r="Q636" s="105">
        <f>SUMIFS(Saidas[Valores],Saidas[Fornecedor],P636,Saidas[Data da Competência],"&gt;="&amp;RESUMO!$C$4,Saidas[Data da Competência],"&lt;"&amp;RESUMO!$D$5,Saidas[Centro de Custos],X!$E$14,Saidas[Status],X!$E$13)</f>
        <v>0</v>
      </c>
    </row>
    <row r="637">
      <c r="M637" s="277"/>
      <c r="N637" s="105">
        <f>SUMIFS(Entradas[Valores],Entradas[Cliente],M637,Entradas[Data da Competência],"&gt;="&amp;RESUMO!$C$4,Entradas[Data da Competência],"&lt;"&amp;RESUMO!$D$5,Entradas[Centro de Custos],X!$E$14,Entradas[Status],X!$E$13)</f>
        <v>0</v>
      </c>
      <c r="P637" s="277"/>
      <c r="Q637" s="105">
        <f>SUMIFS(Saidas[Valores],Saidas[Fornecedor],P637,Saidas[Data da Competência],"&gt;="&amp;RESUMO!$C$4,Saidas[Data da Competência],"&lt;"&amp;RESUMO!$D$5,Saidas[Centro de Custos],X!$E$14,Saidas[Status],X!$E$13)</f>
        <v>0</v>
      </c>
    </row>
    <row r="638">
      <c r="M638" s="277"/>
      <c r="N638" s="105">
        <f>SUMIFS(Entradas[Valores],Entradas[Cliente],M638,Entradas[Data da Competência],"&gt;="&amp;RESUMO!$C$4,Entradas[Data da Competência],"&lt;"&amp;RESUMO!$D$5,Entradas[Centro de Custos],X!$E$14,Entradas[Status],X!$E$13)</f>
        <v>0</v>
      </c>
      <c r="P638" s="277"/>
      <c r="Q638" s="105">
        <f>SUMIFS(Saidas[Valores],Saidas[Fornecedor],P638,Saidas[Data da Competência],"&gt;="&amp;RESUMO!$C$4,Saidas[Data da Competência],"&lt;"&amp;RESUMO!$D$5,Saidas[Centro de Custos],X!$E$14,Saidas[Status],X!$E$13)</f>
        <v>0</v>
      </c>
    </row>
    <row r="639">
      <c r="M639" s="277"/>
      <c r="N639" s="105">
        <f>SUMIFS(Entradas[Valores],Entradas[Cliente],M639,Entradas[Data da Competência],"&gt;="&amp;RESUMO!$C$4,Entradas[Data da Competência],"&lt;"&amp;RESUMO!$D$5,Entradas[Centro de Custos],X!$E$14,Entradas[Status],X!$E$13)</f>
        <v>0</v>
      </c>
      <c r="P639" s="277"/>
      <c r="Q639" s="105">
        <f>SUMIFS(Saidas[Valores],Saidas[Fornecedor],P639,Saidas[Data da Competência],"&gt;="&amp;RESUMO!$C$4,Saidas[Data da Competência],"&lt;"&amp;RESUMO!$D$5,Saidas[Centro de Custos],X!$E$14,Saidas[Status],X!$E$13)</f>
        <v>0</v>
      </c>
    </row>
    <row r="640">
      <c r="M640" s="277"/>
      <c r="N640" s="105">
        <f>SUMIFS(Entradas[Valores],Entradas[Cliente],M640,Entradas[Data da Competência],"&gt;="&amp;RESUMO!$C$4,Entradas[Data da Competência],"&lt;"&amp;RESUMO!$D$5,Entradas[Centro de Custos],X!$E$14,Entradas[Status],X!$E$13)</f>
        <v>0</v>
      </c>
      <c r="P640" s="277"/>
      <c r="Q640" s="105">
        <f>SUMIFS(Saidas[Valores],Saidas[Fornecedor],P640,Saidas[Data da Competência],"&gt;="&amp;RESUMO!$C$4,Saidas[Data da Competência],"&lt;"&amp;RESUMO!$D$5,Saidas[Centro de Custos],X!$E$14,Saidas[Status],X!$E$13)</f>
        <v>0</v>
      </c>
    </row>
    <row r="641">
      <c r="M641" s="277"/>
      <c r="N641" s="105">
        <f>SUMIFS(Entradas[Valores],Entradas[Cliente],M641,Entradas[Data da Competência],"&gt;="&amp;RESUMO!$C$4,Entradas[Data da Competência],"&lt;"&amp;RESUMO!$D$5,Entradas[Centro de Custos],X!$E$14,Entradas[Status],X!$E$13)</f>
        <v>0</v>
      </c>
      <c r="P641" s="277"/>
      <c r="Q641" s="105">
        <f>SUMIFS(Saidas[Valores],Saidas[Fornecedor],P641,Saidas[Data da Competência],"&gt;="&amp;RESUMO!$C$4,Saidas[Data da Competência],"&lt;"&amp;RESUMO!$D$5,Saidas[Centro de Custos],X!$E$14,Saidas[Status],X!$E$13)</f>
        <v>0</v>
      </c>
    </row>
    <row r="642">
      <c r="M642" s="277"/>
      <c r="N642" s="105">
        <f>SUMIFS(Entradas[Valores],Entradas[Cliente],M642,Entradas[Data da Competência],"&gt;="&amp;RESUMO!$C$4,Entradas[Data da Competência],"&lt;"&amp;RESUMO!$D$5,Entradas[Centro de Custos],X!$E$14,Entradas[Status],X!$E$13)</f>
        <v>0</v>
      </c>
      <c r="P642" s="277"/>
      <c r="Q642" s="105">
        <f>SUMIFS(Saidas[Valores],Saidas[Fornecedor],P642,Saidas[Data da Competência],"&gt;="&amp;RESUMO!$C$4,Saidas[Data da Competência],"&lt;"&amp;RESUMO!$D$5,Saidas[Centro de Custos],X!$E$14,Saidas[Status],X!$E$13)</f>
        <v>0</v>
      </c>
    </row>
    <row r="643">
      <c r="M643" s="277"/>
      <c r="N643" s="105">
        <f>SUMIFS(Entradas[Valores],Entradas[Cliente],M643,Entradas[Data da Competência],"&gt;="&amp;RESUMO!$C$4,Entradas[Data da Competência],"&lt;"&amp;RESUMO!$D$5,Entradas[Centro de Custos],X!$E$14,Entradas[Status],X!$E$13)</f>
        <v>0</v>
      </c>
      <c r="P643" s="277"/>
      <c r="Q643" s="105">
        <f>SUMIFS(Saidas[Valores],Saidas[Fornecedor],P643,Saidas[Data da Competência],"&gt;="&amp;RESUMO!$C$4,Saidas[Data da Competência],"&lt;"&amp;RESUMO!$D$5,Saidas[Centro de Custos],X!$E$14,Saidas[Status],X!$E$13)</f>
        <v>0</v>
      </c>
    </row>
    <row r="644">
      <c r="M644" s="277"/>
      <c r="N644" s="105">
        <f>SUMIFS(Entradas[Valores],Entradas[Cliente],M644,Entradas[Data da Competência],"&gt;="&amp;RESUMO!$C$4,Entradas[Data da Competência],"&lt;"&amp;RESUMO!$D$5,Entradas[Centro de Custos],X!$E$14,Entradas[Status],X!$E$13)</f>
        <v>0</v>
      </c>
      <c r="P644" s="277"/>
      <c r="Q644" s="105">
        <f>SUMIFS(Saidas[Valores],Saidas[Fornecedor],P644,Saidas[Data da Competência],"&gt;="&amp;RESUMO!$C$4,Saidas[Data da Competência],"&lt;"&amp;RESUMO!$D$5,Saidas[Centro de Custos],X!$E$14,Saidas[Status],X!$E$13)</f>
        <v>0</v>
      </c>
    </row>
    <row r="645">
      <c r="M645" s="277"/>
      <c r="N645" s="105">
        <f>SUMIFS(Entradas[Valores],Entradas[Cliente],M645,Entradas[Data da Competência],"&gt;="&amp;RESUMO!$C$4,Entradas[Data da Competência],"&lt;"&amp;RESUMO!$D$5,Entradas[Centro de Custos],X!$E$14,Entradas[Status],X!$E$13)</f>
        <v>0</v>
      </c>
      <c r="P645" s="277"/>
      <c r="Q645" s="105">
        <f>SUMIFS(Saidas[Valores],Saidas[Fornecedor],P645,Saidas[Data da Competência],"&gt;="&amp;RESUMO!$C$4,Saidas[Data da Competência],"&lt;"&amp;RESUMO!$D$5,Saidas[Centro de Custos],X!$E$14,Saidas[Status],X!$E$13)</f>
        <v>0</v>
      </c>
    </row>
    <row r="646">
      <c r="M646" s="277"/>
      <c r="N646" s="105">
        <f>SUMIFS(Entradas[Valores],Entradas[Cliente],M646,Entradas[Data da Competência],"&gt;="&amp;RESUMO!$C$4,Entradas[Data da Competência],"&lt;"&amp;RESUMO!$D$5,Entradas[Centro de Custos],X!$E$14,Entradas[Status],X!$E$13)</f>
        <v>0</v>
      </c>
      <c r="P646" s="277"/>
      <c r="Q646" s="105">
        <f>SUMIFS(Saidas[Valores],Saidas[Fornecedor],P646,Saidas[Data da Competência],"&gt;="&amp;RESUMO!$C$4,Saidas[Data da Competência],"&lt;"&amp;RESUMO!$D$5,Saidas[Centro de Custos],X!$E$14,Saidas[Status],X!$E$13)</f>
        <v>0</v>
      </c>
    </row>
    <row r="647">
      <c r="M647" s="277"/>
      <c r="N647" s="105">
        <f>SUMIFS(Entradas[Valores],Entradas[Cliente],M647,Entradas[Data da Competência],"&gt;="&amp;RESUMO!$C$4,Entradas[Data da Competência],"&lt;"&amp;RESUMO!$D$5,Entradas[Centro de Custos],X!$E$14,Entradas[Status],X!$E$13)</f>
        <v>0</v>
      </c>
      <c r="P647" s="277"/>
      <c r="Q647" s="105">
        <f>SUMIFS(Saidas[Valores],Saidas[Fornecedor],P647,Saidas[Data da Competência],"&gt;="&amp;RESUMO!$C$4,Saidas[Data da Competência],"&lt;"&amp;RESUMO!$D$5,Saidas[Centro de Custos],X!$E$14,Saidas[Status],X!$E$13)</f>
        <v>0</v>
      </c>
    </row>
    <row r="648">
      <c r="M648" s="277"/>
      <c r="N648" s="105">
        <f>SUMIFS(Entradas[Valores],Entradas[Cliente],M648,Entradas[Data da Competência],"&gt;="&amp;RESUMO!$C$4,Entradas[Data da Competência],"&lt;"&amp;RESUMO!$D$5,Entradas[Centro de Custos],X!$E$14,Entradas[Status],X!$E$13)</f>
        <v>0</v>
      </c>
      <c r="P648" s="277"/>
      <c r="Q648" s="105">
        <f>SUMIFS(Saidas[Valores],Saidas[Fornecedor],P648,Saidas[Data da Competência],"&gt;="&amp;RESUMO!$C$4,Saidas[Data da Competência],"&lt;"&amp;RESUMO!$D$5,Saidas[Centro de Custos],X!$E$14,Saidas[Status],X!$E$13)</f>
        <v>0</v>
      </c>
    </row>
    <row r="649">
      <c r="M649" s="277"/>
      <c r="N649" s="105">
        <f>SUMIFS(Entradas[Valores],Entradas[Cliente],M649,Entradas[Data da Competência],"&gt;="&amp;RESUMO!$C$4,Entradas[Data da Competência],"&lt;"&amp;RESUMO!$D$5,Entradas[Centro de Custos],X!$E$14,Entradas[Status],X!$E$13)</f>
        <v>0</v>
      </c>
      <c r="P649" s="277"/>
      <c r="Q649" s="105">
        <f>SUMIFS(Saidas[Valores],Saidas[Fornecedor],P649,Saidas[Data da Competência],"&gt;="&amp;RESUMO!$C$4,Saidas[Data da Competência],"&lt;"&amp;RESUMO!$D$5,Saidas[Centro de Custos],X!$E$14,Saidas[Status],X!$E$13)</f>
        <v>0</v>
      </c>
    </row>
    <row r="650">
      <c r="M650" s="277"/>
      <c r="N650" s="105">
        <f>SUMIFS(Entradas[Valores],Entradas[Cliente],M650,Entradas[Data da Competência],"&gt;="&amp;RESUMO!$C$4,Entradas[Data da Competência],"&lt;"&amp;RESUMO!$D$5,Entradas[Centro de Custos],X!$E$14,Entradas[Status],X!$E$13)</f>
        <v>0</v>
      </c>
      <c r="P650" s="277"/>
      <c r="Q650" s="105">
        <f>SUMIFS(Saidas[Valores],Saidas[Fornecedor],P650,Saidas[Data da Competência],"&gt;="&amp;RESUMO!$C$4,Saidas[Data da Competência],"&lt;"&amp;RESUMO!$D$5,Saidas[Centro de Custos],X!$E$14,Saidas[Status],X!$E$13)</f>
        <v>0</v>
      </c>
    </row>
    <row r="651">
      <c r="M651" s="277"/>
      <c r="N651" s="105">
        <f>SUMIFS(Entradas[Valores],Entradas[Cliente],M651,Entradas[Data da Competência],"&gt;="&amp;RESUMO!$C$4,Entradas[Data da Competência],"&lt;"&amp;RESUMO!$D$5,Entradas[Centro de Custos],X!$E$14,Entradas[Status],X!$E$13)</f>
        <v>0</v>
      </c>
      <c r="P651" s="277"/>
      <c r="Q651" s="105">
        <f>SUMIFS(Saidas[Valores],Saidas[Fornecedor],P651,Saidas[Data da Competência],"&gt;="&amp;RESUMO!$C$4,Saidas[Data da Competência],"&lt;"&amp;RESUMO!$D$5,Saidas[Centro de Custos],X!$E$14,Saidas[Status],X!$E$13)</f>
        <v>0</v>
      </c>
    </row>
    <row r="652">
      <c r="M652" s="277"/>
      <c r="N652" s="105">
        <f>SUMIFS(Entradas[Valores],Entradas[Cliente],M652,Entradas[Data da Competência],"&gt;="&amp;RESUMO!$C$4,Entradas[Data da Competência],"&lt;"&amp;RESUMO!$D$5,Entradas[Centro de Custos],X!$E$14,Entradas[Status],X!$E$13)</f>
        <v>0</v>
      </c>
      <c r="P652" s="277"/>
      <c r="Q652" s="105">
        <f>SUMIFS(Saidas[Valores],Saidas[Fornecedor],P652,Saidas[Data da Competência],"&gt;="&amp;RESUMO!$C$4,Saidas[Data da Competência],"&lt;"&amp;RESUMO!$D$5,Saidas[Centro de Custos],X!$E$14,Saidas[Status],X!$E$13)</f>
        <v>0</v>
      </c>
    </row>
    <row r="653">
      <c r="M653" s="277"/>
      <c r="N653" s="105">
        <f>SUMIFS(Entradas[Valores],Entradas[Cliente],M653,Entradas[Data da Competência],"&gt;="&amp;RESUMO!$C$4,Entradas[Data da Competência],"&lt;"&amp;RESUMO!$D$5,Entradas[Centro de Custos],X!$E$14,Entradas[Status],X!$E$13)</f>
        <v>0</v>
      </c>
      <c r="P653" s="277"/>
      <c r="Q653" s="105">
        <f>SUMIFS(Saidas[Valores],Saidas[Fornecedor],P653,Saidas[Data da Competência],"&gt;="&amp;RESUMO!$C$4,Saidas[Data da Competência],"&lt;"&amp;RESUMO!$D$5,Saidas[Centro de Custos],X!$E$14,Saidas[Status],X!$E$13)</f>
        <v>0</v>
      </c>
    </row>
    <row r="654">
      <c r="M654" s="277"/>
      <c r="N654" s="105">
        <f>SUMIFS(Entradas[Valores],Entradas[Cliente],M654,Entradas[Data da Competência],"&gt;="&amp;RESUMO!$C$4,Entradas[Data da Competência],"&lt;"&amp;RESUMO!$D$5,Entradas[Centro de Custos],X!$E$14,Entradas[Status],X!$E$13)</f>
        <v>0</v>
      </c>
      <c r="P654" s="277"/>
      <c r="Q654" s="105">
        <f>SUMIFS(Saidas[Valores],Saidas[Fornecedor],P654,Saidas[Data da Competência],"&gt;="&amp;RESUMO!$C$4,Saidas[Data da Competência],"&lt;"&amp;RESUMO!$D$5,Saidas[Centro de Custos],X!$E$14,Saidas[Status],X!$E$13)</f>
        <v>0</v>
      </c>
    </row>
    <row r="655">
      <c r="M655" s="277"/>
      <c r="N655" s="105">
        <f>SUMIFS(Entradas[Valores],Entradas[Cliente],M655,Entradas[Data da Competência],"&gt;="&amp;RESUMO!$C$4,Entradas[Data da Competência],"&lt;"&amp;RESUMO!$D$5,Entradas[Centro de Custos],X!$E$14,Entradas[Status],X!$E$13)</f>
        <v>0</v>
      </c>
      <c r="P655" s="277"/>
      <c r="Q655" s="105">
        <f>SUMIFS(Saidas[Valores],Saidas[Fornecedor],P655,Saidas[Data da Competência],"&gt;="&amp;RESUMO!$C$4,Saidas[Data da Competência],"&lt;"&amp;RESUMO!$D$5,Saidas[Centro de Custos],X!$E$14,Saidas[Status],X!$E$13)</f>
        <v>0</v>
      </c>
    </row>
    <row r="656">
      <c r="M656" s="277"/>
      <c r="N656" s="105">
        <f>SUMIFS(Entradas[Valores],Entradas[Cliente],M656,Entradas[Data da Competência],"&gt;="&amp;RESUMO!$C$4,Entradas[Data da Competência],"&lt;"&amp;RESUMO!$D$5,Entradas[Centro de Custos],X!$E$14,Entradas[Status],X!$E$13)</f>
        <v>0</v>
      </c>
      <c r="P656" s="277"/>
      <c r="Q656" s="105">
        <f>SUMIFS(Saidas[Valores],Saidas[Fornecedor],P656,Saidas[Data da Competência],"&gt;="&amp;RESUMO!$C$4,Saidas[Data da Competência],"&lt;"&amp;RESUMO!$D$5,Saidas[Centro de Custos],X!$E$14,Saidas[Status],X!$E$13)</f>
        <v>0</v>
      </c>
    </row>
    <row r="657">
      <c r="M657" s="277"/>
      <c r="N657" s="105">
        <f>SUMIFS(Entradas[Valores],Entradas[Cliente],M657,Entradas[Data da Competência],"&gt;="&amp;RESUMO!$C$4,Entradas[Data da Competência],"&lt;"&amp;RESUMO!$D$5,Entradas[Centro de Custos],X!$E$14,Entradas[Status],X!$E$13)</f>
        <v>0</v>
      </c>
      <c r="P657" s="277"/>
      <c r="Q657" s="105">
        <f>SUMIFS(Saidas[Valores],Saidas[Fornecedor],P657,Saidas[Data da Competência],"&gt;="&amp;RESUMO!$C$4,Saidas[Data da Competência],"&lt;"&amp;RESUMO!$D$5,Saidas[Centro de Custos],X!$E$14,Saidas[Status],X!$E$13)</f>
        <v>0</v>
      </c>
    </row>
    <row r="658">
      <c r="M658" s="277"/>
      <c r="N658" s="105">
        <f>SUMIFS(Entradas[Valores],Entradas[Cliente],M658,Entradas[Data da Competência],"&gt;="&amp;RESUMO!$C$4,Entradas[Data da Competência],"&lt;"&amp;RESUMO!$D$5,Entradas[Centro de Custos],X!$E$14,Entradas[Status],X!$E$13)</f>
        <v>0</v>
      </c>
      <c r="P658" s="277"/>
      <c r="Q658" s="105">
        <f>SUMIFS(Saidas[Valores],Saidas[Fornecedor],P658,Saidas[Data da Competência],"&gt;="&amp;RESUMO!$C$4,Saidas[Data da Competência],"&lt;"&amp;RESUMO!$D$5,Saidas[Centro de Custos],X!$E$14,Saidas[Status],X!$E$13)</f>
        <v>0</v>
      </c>
    </row>
    <row r="659">
      <c r="M659" s="277"/>
      <c r="N659" s="105">
        <f>SUMIFS(Entradas[Valores],Entradas[Cliente],M659,Entradas[Data da Competência],"&gt;="&amp;RESUMO!$C$4,Entradas[Data da Competência],"&lt;"&amp;RESUMO!$D$5,Entradas[Centro de Custos],X!$E$14,Entradas[Status],X!$E$13)</f>
        <v>0</v>
      </c>
      <c r="P659" s="277"/>
      <c r="Q659" s="105">
        <f>SUMIFS(Saidas[Valores],Saidas[Fornecedor],P659,Saidas[Data da Competência],"&gt;="&amp;RESUMO!$C$4,Saidas[Data da Competência],"&lt;"&amp;RESUMO!$D$5,Saidas[Centro de Custos],X!$E$14,Saidas[Status],X!$E$13)</f>
        <v>0</v>
      </c>
    </row>
    <row r="660">
      <c r="M660" s="277"/>
      <c r="N660" s="105">
        <f>SUMIFS(Entradas[Valores],Entradas[Cliente],M660,Entradas[Data da Competência],"&gt;="&amp;RESUMO!$C$4,Entradas[Data da Competência],"&lt;"&amp;RESUMO!$D$5,Entradas[Centro de Custos],X!$E$14,Entradas[Status],X!$E$13)</f>
        <v>0</v>
      </c>
      <c r="P660" s="277"/>
      <c r="Q660" s="105">
        <f>SUMIFS(Saidas[Valores],Saidas[Fornecedor],P660,Saidas[Data da Competência],"&gt;="&amp;RESUMO!$C$4,Saidas[Data da Competência],"&lt;"&amp;RESUMO!$D$5,Saidas[Centro de Custos],X!$E$14,Saidas[Status],X!$E$13)</f>
        <v>0</v>
      </c>
    </row>
    <row r="661">
      <c r="M661" s="277"/>
      <c r="N661" s="105">
        <f>SUMIFS(Entradas[Valores],Entradas[Cliente],M661,Entradas[Data da Competência],"&gt;="&amp;RESUMO!$C$4,Entradas[Data da Competência],"&lt;"&amp;RESUMO!$D$5,Entradas[Centro de Custos],X!$E$14,Entradas[Status],X!$E$13)</f>
        <v>0</v>
      </c>
      <c r="P661" s="277"/>
      <c r="Q661" s="105">
        <f>SUMIFS(Saidas[Valores],Saidas[Fornecedor],P661,Saidas[Data da Competência],"&gt;="&amp;RESUMO!$C$4,Saidas[Data da Competência],"&lt;"&amp;RESUMO!$D$5,Saidas[Centro de Custos],X!$E$14,Saidas[Status],X!$E$13)</f>
        <v>0</v>
      </c>
    </row>
    <row r="662">
      <c r="M662" s="277"/>
      <c r="N662" s="105">
        <f>SUMIFS(Entradas[Valores],Entradas[Cliente],M662,Entradas[Data da Competência],"&gt;="&amp;RESUMO!$C$4,Entradas[Data da Competência],"&lt;"&amp;RESUMO!$D$5,Entradas[Centro de Custos],X!$E$14,Entradas[Status],X!$E$13)</f>
        <v>0</v>
      </c>
      <c r="P662" s="277"/>
      <c r="Q662" s="105">
        <f>SUMIFS(Saidas[Valores],Saidas[Fornecedor],P662,Saidas[Data da Competência],"&gt;="&amp;RESUMO!$C$4,Saidas[Data da Competência],"&lt;"&amp;RESUMO!$D$5,Saidas[Centro de Custos],X!$E$14,Saidas[Status],X!$E$13)</f>
        <v>0</v>
      </c>
    </row>
    <row r="663">
      <c r="M663" s="277"/>
      <c r="N663" s="105">
        <f>SUMIFS(Entradas[Valores],Entradas[Cliente],M663,Entradas[Data da Competência],"&gt;="&amp;RESUMO!$C$4,Entradas[Data da Competência],"&lt;"&amp;RESUMO!$D$5,Entradas[Centro de Custos],X!$E$14,Entradas[Status],X!$E$13)</f>
        <v>0</v>
      </c>
      <c r="P663" s="277"/>
      <c r="Q663" s="105">
        <f>SUMIFS(Saidas[Valores],Saidas[Fornecedor],P663,Saidas[Data da Competência],"&gt;="&amp;RESUMO!$C$4,Saidas[Data da Competência],"&lt;"&amp;RESUMO!$D$5,Saidas[Centro de Custos],X!$E$14,Saidas[Status],X!$E$13)</f>
        <v>0</v>
      </c>
    </row>
    <row r="664">
      <c r="M664" s="277"/>
      <c r="N664" s="105">
        <f>SUMIFS(Entradas[Valores],Entradas[Cliente],M664,Entradas[Data da Competência],"&gt;="&amp;RESUMO!$C$4,Entradas[Data da Competência],"&lt;"&amp;RESUMO!$D$5,Entradas[Centro de Custos],X!$E$14,Entradas[Status],X!$E$13)</f>
        <v>0</v>
      </c>
      <c r="P664" s="277"/>
      <c r="Q664" s="105">
        <f>SUMIFS(Saidas[Valores],Saidas[Fornecedor],P664,Saidas[Data da Competência],"&gt;="&amp;RESUMO!$C$4,Saidas[Data da Competência],"&lt;"&amp;RESUMO!$D$5,Saidas[Centro de Custos],X!$E$14,Saidas[Status],X!$E$13)</f>
        <v>0</v>
      </c>
    </row>
    <row r="665">
      <c r="M665" s="277"/>
      <c r="N665" s="105">
        <f>SUMIFS(Entradas[Valores],Entradas[Cliente],M665,Entradas[Data da Competência],"&gt;="&amp;RESUMO!$C$4,Entradas[Data da Competência],"&lt;"&amp;RESUMO!$D$5,Entradas[Centro de Custos],X!$E$14,Entradas[Status],X!$E$13)</f>
        <v>0</v>
      </c>
      <c r="P665" s="277"/>
      <c r="Q665" s="105">
        <f>SUMIFS(Saidas[Valores],Saidas[Fornecedor],P665,Saidas[Data da Competência],"&gt;="&amp;RESUMO!$C$4,Saidas[Data da Competência],"&lt;"&amp;RESUMO!$D$5,Saidas[Centro de Custos],X!$E$14,Saidas[Status],X!$E$13)</f>
        <v>0</v>
      </c>
    </row>
    <row r="666">
      <c r="M666" s="277"/>
      <c r="N666" s="105">
        <f>SUMIFS(Entradas[Valores],Entradas[Cliente],M666,Entradas[Data da Competência],"&gt;="&amp;RESUMO!$C$4,Entradas[Data da Competência],"&lt;"&amp;RESUMO!$D$5,Entradas[Centro de Custos],X!$E$14,Entradas[Status],X!$E$13)</f>
        <v>0</v>
      </c>
      <c r="P666" s="277"/>
      <c r="Q666" s="105">
        <f>SUMIFS(Saidas[Valores],Saidas[Fornecedor],P666,Saidas[Data da Competência],"&gt;="&amp;RESUMO!$C$4,Saidas[Data da Competência],"&lt;"&amp;RESUMO!$D$5,Saidas[Centro de Custos],X!$E$14,Saidas[Status],X!$E$13)</f>
        <v>0</v>
      </c>
    </row>
    <row r="667">
      <c r="M667" s="277"/>
      <c r="N667" s="105">
        <f>SUMIFS(Entradas[Valores],Entradas[Cliente],M667,Entradas[Data da Competência],"&gt;="&amp;RESUMO!$C$4,Entradas[Data da Competência],"&lt;"&amp;RESUMO!$D$5,Entradas[Centro de Custos],X!$E$14,Entradas[Status],X!$E$13)</f>
        <v>0</v>
      </c>
      <c r="P667" s="277"/>
      <c r="Q667" s="105">
        <f>SUMIFS(Saidas[Valores],Saidas[Fornecedor],P667,Saidas[Data da Competência],"&gt;="&amp;RESUMO!$C$4,Saidas[Data da Competência],"&lt;"&amp;RESUMO!$D$5,Saidas[Centro de Custos],X!$E$14,Saidas[Status],X!$E$13)</f>
        <v>0</v>
      </c>
    </row>
    <row r="668">
      <c r="M668" s="277"/>
      <c r="N668" s="105">
        <f>SUMIFS(Entradas[Valores],Entradas[Cliente],M668,Entradas[Data da Competência],"&gt;="&amp;RESUMO!$C$4,Entradas[Data da Competência],"&lt;"&amp;RESUMO!$D$5,Entradas[Centro de Custos],X!$E$14,Entradas[Status],X!$E$13)</f>
        <v>0</v>
      </c>
      <c r="P668" s="277"/>
      <c r="Q668" s="105">
        <f>SUMIFS(Saidas[Valores],Saidas[Fornecedor],P668,Saidas[Data da Competência],"&gt;="&amp;RESUMO!$C$4,Saidas[Data da Competência],"&lt;"&amp;RESUMO!$D$5,Saidas[Centro de Custos],X!$E$14,Saidas[Status],X!$E$13)</f>
        <v>0</v>
      </c>
    </row>
    <row r="669">
      <c r="M669" s="277"/>
      <c r="N669" s="105">
        <f>SUMIFS(Entradas[Valores],Entradas[Cliente],M669,Entradas[Data da Competência],"&gt;="&amp;RESUMO!$C$4,Entradas[Data da Competência],"&lt;"&amp;RESUMO!$D$5,Entradas[Centro de Custos],X!$E$14,Entradas[Status],X!$E$13)</f>
        <v>0</v>
      </c>
      <c r="P669" s="277"/>
      <c r="Q669" s="105">
        <f>SUMIFS(Saidas[Valores],Saidas[Fornecedor],P669,Saidas[Data da Competência],"&gt;="&amp;RESUMO!$C$4,Saidas[Data da Competência],"&lt;"&amp;RESUMO!$D$5,Saidas[Centro de Custos],X!$E$14,Saidas[Status],X!$E$13)</f>
        <v>0</v>
      </c>
    </row>
    <row r="670">
      <c r="M670" s="277"/>
      <c r="N670" s="105">
        <f>SUMIFS(Entradas[Valores],Entradas[Cliente],M670,Entradas[Data da Competência],"&gt;="&amp;RESUMO!$C$4,Entradas[Data da Competência],"&lt;"&amp;RESUMO!$D$5,Entradas[Centro de Custos],X!$E$14,Entradas[Status],X!$E$13)</f>
        <v>0</v>
      </c>
      <c r="P670" s="277"/>
      <c r="Q670" s="105">
        <f>SUMIFS(Saidas[Valores],Saidas[Fornecedor],P670,Saidas[Data da Competência],"&gt;="&amp;RESUMO!$C$4,Saidas[Data da Competência],"&lt;"&amp;RESUMO!$D$5,Saidas[Centro de Custos],X!$E$14,Saidas[Status],X!$E$13)</f>
        <v>0</v>
      </c>
    </row>
    <row r="671">
      <c r="M671" s="277"/>
      <c r="N671" s="105">
        <f>SUMIFS(Entradas[Valores],Entradas[Cliente],M671,Entradas[Data da Competência],"&gt;="&amp;RESUMO!$C$4,Entradas[Data da Competência],"&lt;"&amp;RESUMO!$D$5,Entradas[Centro de Custos],X!$E$14,Entradas[Status],X!$E$13)</f>
        <v>0</v>
      </c>
      <c r="P671" s="277"/>
      <c r="Q671" s="105">
        <f>SUMIFS(Saidas[Valores],Saidas[Fornecedor],P671,Saidas[Data da Competência],"&gt;="&amp;RESUMO!$C$4,Saidas[Data da Competência],"&lt;"&amp;RESUMO!$D$5,Saidas[Centro de Custos],X!$E$14,Saidas[Status],X!$E$13)</f>
        <v>0</v>
      </c>
    </row>
    <row r="672">
      <c r="M672" s="277"/>
      <c r="N672" s="105">
        <f>SUMIFS(Entradas[Valores],Entradas[Cliente],M672,Entradas[Data da Competência],"&gt;="&amp;RESUMO!$C$4,Entradas[Data da Competência],"&lt;"&amp;RESUMO!$D$5,Entradas[Centro de Custos],X!$E$14,Entradas[Status],X!$E$13)</f>
        <v>0</v>
      </c>
      <c r="P672" s="277"/>
      <c r="Q672" s="105">
        <f>SUMIFS(Saidas[Valores],Saidas[Fornecedor],P672,Saidas[Data da Competência],"&gt;="&amp;RESUMO!$C$4,Saidas[Data da Competência],"&lt;"&amp;RESUMO!$D$5,Saidas[Centro de Custos],X!$E$14,Saidas[Status],X!$E$13)</f>
        <v>0</v>
      </c>
    </row>
    <row r="673">
      <c r="M673" s="277"/>
      <c r="N673" s="105">
        <f>SUMIFS(Entradas[Valores],Entradas[Cliente],M673,Entradas[Data da Competência],"&gt;="&amp;RESUMO!$C$4,Entradas[Data da Competência],"&lt;"&amp;RESUMO!$D$5,Entradas[Centro de Custos],X!$E$14,Entradas[Status],X!$E$13)</f>
        <v>0</v>
      </c>
      <c r="P673" s="277"/>
      <c r="Q673" s="105">
        <f>SUMIFS(Saidas[Valores],Saidas[Fornecedor],P673,Saidas[Data da Competência],"&gt;="&amp;RESUMO!$C$4,Saidas[Data da Competência],"&lt;"&amp;RESUMO!$D$5,Saidas[Centro de Custos],X!$E$14,Saidas[Status],X!$E$13)</f>
        <v>0</v>
      </c>
    </row>
    <row r="674">
      <c r="M674" s="277"/>
      <c r="N674" s="105">
        <f>SUMIFS(Entradas[Valores],Entradas[Cliente],M674,Entradas[Data da Competência],"&gt;="&amp;RESUMO!$C$4,Entradas[Data da Competência],"&lt;"&amp;RESUMO!$D$5,Entradas[Centro de Custos],X!$E$14,Entradas[Status],X!$E$13)</f>
        <v>0</v>
      </c>
      <c r="P674" s="277"/>
      <c r="Q674" s="105">
        <f>SUMIFS(Saidas[Valores],Saidas[Fornecedor],P674,Saidas[Data da Competência],"&gt;="&amp;RESUMO!$C$4,Saidas[Data da Competência],"&lt;"&amp;RESUMO!$D$5,Saidas[Centro de Custos],X!$E$14,Saidas[Status],X!$E$13)</f>
        <v>0</v>
      </c>
    </row>
    <row r="675">
      <c r="M675" s="277"/>
      <c r="N675" s="105">
        <f>SUMIFS(Entradas[Valores],Entradas[Cliente],M675,Entradas[Data da Competência],"&gt;="&amp;RESUMO!$C$4,Entradas[Data da Competência],"&lt;"&amp;RESUMO!$D$5,Entradas[Centro de Custos],X!$E$14,Entradas[Status],X!$E$13)</f>
        <v>0</v>
      </c>
      <c r="P675" s="277"/>
      <c r="Q675" s="105">
        <f>SUMIFS(Saidas[Valores],Saidas[Fornecedor],P675,Saidas[Data da Competência],"&gt;="&amp;RESUMO!$C$4,Saidas[Data da Competência],"&lt;"&amp;RESUMO!$D$5,Saidas[Centro de Custos],X!$E$14,Saidas[Status],X!$E$13)</f>
        <v>0</v>
      </c>
    </row>
    <row r="676">
      <c r="M676" s="277"/>
      <c r="N676" s="105">
        <f>SUMIFS(Entradas[Valores],Entradas[Cliente],M676,Entradas[Data da Competência],"&gt;="&amp;RESUMO!$C$4,Entradas[Data da Competência],"&lt;"&amp;RESUMO!$D$5,Entradas[Centro de Custos],X!$E$14,Entradas[Status],X!$E$13)</f>
        <v>0</v>
      </c>
      <c r="P676" s="277"/>
      <c r="Q676" s="105">
        <f>SUMIFS(Saidas[Valores],Saidas[Fornecedor],P676,Saidas[Data da Competência],"&gt;="&amp;RESUMO!$C$4,Saidas[Data da Competência],"&lt;"&amp;RESUMO!$D$5,Saidas[Centro de Custos],X!$E$14,Saidas[Status],X!$E$13)</f>
        <v>0</v>
      </c>
    </row>
    <row r="677">
      <c r="M677" s="277"/>
      <c r="N677" s="105">
        <f>SUMIFS(Entradas[Valores],Entradas[Cliente],M677,Entradas[Data da Competência],"&gt;="&amp;RESUMO!$C$4,Entradas[Data da Competência],"&lt;"&amp;RESUMO!$D$5,Entradas[Centro de Custos],X!$E$14,Entradas[Status],X!$E$13)</f>
        <v>0</v>
      </c>
      <c r="P677" s="277"/>
      <c r="Q677" s="105">
        <f>SUMIFS(Saidas[Valores],Saidas[Fornecedor],P677,Saidas[Data da Competência],"&gt;="&amp;RESUMO!$C$4,Saidas[Data da Competência],"&lt;"&amp;RESUMO!$D$5,Saidas[Centro de Custos],X!$E$14,Saidas[Status],X!$E$13)</f>
        <v>0</v>
      </c>
    </row>
    <row r="678">
      <c r="M678" s="277"/>
      <c r="N678" s="105">
        <f>SUMIFS(Entradas[Valores],Entradas[Cliente],M678,Entradas[Data da Competência],"&gt;="&amp;RESUMO!$C$4,Entradas[Data da Competência],"&lt;"&amp;RESUMO!$D$5,Entradas[Centro de Custos],X!$E$14,Entradas[Status],X!$E$13)</f>
        <v>0</v>
      </c>
      <c r="P678" s="277"/>
      <c r="Q678" s="105">
        <f>SUMIFS(Saidas[Valores],Saidas[Fornecedor],P678,Saidas[Data da Competência],"&gt;="&amp;RESUMO!$C$4,Saidas[Data da Competência],"&lt;"&amp;RESUMO!$D$5,Saidas[Centro de Custos],X!$E$14,Saidas[Status],X!$E$13)</f>
        <v>0</v>
      </c>
    </row>
    <row r="679">
      <c r="M679" s="277"/>
      <c r="N679" s="105">
        <f>SUMIFS(Entradas[Valores],Entradas[Cliente],M679,Entradas[Data da Competência],"&gt;="&amp;RESUMO!$C$4,Entradas[Data da Competência],"&lt;"&amp;RESUMO!$D$5,Entradas[Centro de Custos],X!$E$14,Entradas[Status],X!$E$13)</f>
        <v>0</v>
      </c>
      <c r="P679" s="277"/>
      <c r="Q679" s="105">
        <f>SUMIFS(Saidas[Valores],Saidas[Fornecedor],P679,Saidas[Data da Competência],"&gt;="&amp;RESUMO!$C$4,Saidas[Data da Competência],"&lt;"&amp;RESUMO!$D$5,Saidas[Centro de Custos],X!$E$14,Saidas[Status],X!$E$13)</f>
        <v>0</v>
      </c>
    </row>
    <row r="680">
      <c r="M680" s="277"/>
      <c r="N680" s="105">
        <f>SUMIFS(Entradas[Valores],Entradas[Cliente],M680,Entradas[Data da Competência],"&gt;="&amp;RESUMO!$C$4,Entradas[Data da Competência],"&lt;"&amp;RESUMO!$D$5,Entradas[Centro de Custos],X!$E$14,Entradas[Status],X!$E$13)</f>
        <v>0</v>
      </c>
      <c r="P680" s="277"/>
      <c r="Q680" s="105">
        <f>SUMIFS(Saidas[Valores],Saidas[Fornecedor],P680,Saidas[Data da Competência],"&gt;="&amp;RESUMO!$C$4,Saidas[Data da Competência],"&lt;"&amp;RESUMO!$D$5,Saidas[Centro de Custos],X!$E$14,Saidas[Status],X!$E$13)</f>
        <v>0</v>
      </c>
    </row>
    <row r="681">
      <c r="M681" s="277"/>
      <c r="N681" s="105">
        <f>SUMIFS(Entradas[Valores],Entradas[Cliente],M681,Entradas[Data da Competência],"&gt;="&amp;RESUMO!$C$4,Entradas[Data da Competência],"&lt;"&amp;RESUMO!$D$5,Entradas[Centro de Custos],X!$E$14,Entradas[Status],X!$E$13)</f>
        <v>0</v>
      </c>
      <c r="P681" s="277"/>
      <c r="Q681" s="105">
        <f>SUMIFS(Saidas[Valores],Saidas[Fornecedor],P681,Saidas[Data da Competência],"&gt;="&amp;RESUMO!$C$4,Saidas[Data da Competência],"&lt;"&amp;RESUMO!$D$5,Saidas[Centro de Custos],X!$E$14,Saidas[Status],X!$E$13)</f>
        <v>0</v>
      </c>
    </row>
    <row r="682">
      <c r="M682" s="277"/>
      <c r="N682" s="105">
        <f>SUMIFS(Entradas[Valores],Entradas[Cliente],M682,Entradas[Data da Competência],"&gt;="&amp;RESUMO!$C$4,Entradas[Data da Competência],"&lt;"&amp;RESUMO!$D$5,Entradas[Centro de Custos],X!$E$14,Entradas[Status],X!$E$13)</f>
        <v>0</v>
      </c>
      <c r="P682" s="277"/>
      <c r="Q682" s="105">
        <f>SUMIFS(Saidas[Valores],Saidas[Fornecedor],P682,Saidas[Data da Competência],"&gt;="&amp;RESUMO!$C$4,Saidas[Data da Competência],"&lt;"&amp;RESUMO!$D$5,Saidas[Centro de Custos],X!$E$14,Saidas[Status],X!$E$13)</f>
        <v>0</v>
      </c>
    </row>
    <row r="683">
      <c r="M683" s="277"/>
      <c r="N683" s="105">
        <f>SUMIFS(Entradas[Valores],Entradas[Cliente],M683,Entradas[Data da Competência],"&gt;="&amp;RESUMO!$C$4,Entradas[Data da Competência],"&lt;"&amp;RESUMO!$D$5,Entradas[Centro de Custos],X!$E$14,Entradas[Status],X!$E$13)</f>
        <v>0</v>
      </c>
      <c r="P683" s="277"/>
      <c r="Q683" s="105">
        <f>SUMIFS(Saidas[Valores],Saidas[Fornecedor],P683,Saidas[Data da Competência],"&gt;="&amp;RESUMO!$C$4,Saidas[Data da Competência],"&lt;"&amp;RESUMO!$D$5,Saidas[Centro de Custos],X!$E$14,Saidas[Status],X!$E$13)</f>
        <v>0</v>
      </c>
    </row>
    <row r="684">
      <c r="M684" s="277"/>
      <c r="N684" s="105">
        <f>SUMIFS(Entradas[Valores],Entradas[Cliente],M684,Entradas[Data da Competência],"&gt;="&amp;RESUMO!$C$4,Entradas[Data da Competência],"&lt;"&amp;RESUMO!$D$5,Entradas[Centro de Custos],X!$E$14,Entradas[Status],X!$E$13)</f>
        <v>0</v>
      </c>
      <c r="P684" s="277"/>
      <c r="Q684" s="105">
        <f>SUMIFS(Saidas[Valores],Saidas[Fornecedor],P684,Saidas[Data da Competência],"&gt;="&amp;RESUMO!$C$4,Saidas[Data da Competência],"&lt;"&amp;RESUMO!$D$5,Saidas[Centro de Custos],X!$E$14,Saidas[Status],X!$E$13)</f>
        <v>0</v>
      </c>
    </row>
    <row r="685">
      <c r="M685" s="277"/>
      <c r="N685" s="105">
        <f>SUMIFS(Entradas[Valores],Entradas[Cliente],M685,Entradas[Data da Competência],"&gt;="&amp;RESUMO!$C$4,Entradas[Data da Competência],"&lt;"&amp;RESUMO!$D$5,Entradas[Centro de Custos],X!$E$14,Entradas[Status],X!$E$13)</f>
        <v>0</v>
      </c>
      <c r="P685" s="277"/>
      <c r="Q685" s="105">
        <f>SUMIFS(Saidas[Valores],Saidas[Fornecedor],P685,Saidas[Data da Competência],"&gt;="&amp;RESUMO!$C$4,Saidas[Data da Competência],"&lt;"&amp;RESUMO!$D$5,Saidas[Centro de Custos],X!$E$14,Saidas[Status],X!$E$13)</f>
        <v>0</v>
      </c>
    </row>
    <row r="686">
      <c r="M686" s="277"/>
      <c r="N686" s="105">
        <f>SUMIFS(Entradas[Valores],Entradas[Cliente],M686,Entradas[Data da Competência],"&gt;="&amp;RESUMO!$C$4,Entradas[Data da Competência],"&lt;"&amp;RESUMO!$D$5,Entradas[Centro de Custos],X!$E$14,Entradas[Status],X!$E$13)</f>
        <v>0</v>
      </c>
      <c r="P686" s="277"/>
      <c r="Q686" s="105">
        <f>SUMIFS(Saidas[Valores],Saidas[Fornecedor],P686,Saidas[Data da Competência],"&gt;="&amp;RESUMO!$C$4,Saidas[Data da Competência],"&lt;"&amp;RESUMO!$D$5,Saidas[Centro de Custos],X!$E$14,Saidas[Status],X!$E$13)</f>
        <v>0</v>
      </c>
    </row>
    <row r="687">
      <c r="M687" s="277"/>
      <c r="N687" s="105">
        <f>SUMIFS(Entradas[Valores],Entradas[Cliente],M687,Entradas[Data da Competência],"&gt;="&amp;RESUMO!$C$4,Entradas[Data da Competência],"&lt;"&amp;RESUMO!$D$5,Entradas[Centro de Custos],X!$E$14,Entradas[Status],X!$E$13)</f>
        <v>0</v>
      </c>
      <c r="P687" s="277"/>
      <c r="Q687" s="105">
        <f>SUMIFS(Saidas[Valores],Saidas[Fornecedor],P687,Saidas[Data da Competência],"&gt;="&amp;RESUMO!$C$4,Saidas[Data da Competência],"&lt;"&amp;RESUMO!$D$5,Saidas[Centro de Custos],X!$E$14,Saidas[Status],X!$E$13)</f>
        <v>0</v>
      </c>
    </row>
    <row r="688">
      <c r="M688" s="277"/>
      <c r="N688" s="105">
        <f>SUMIFS(Entradas[Valores],Entradas[Cliente],M688,Entradas[Data da Competência],"&gt;="&amp;RESUMO!$C$4,Entradas[Data da Competência],"&lt;"&amp;RESUMO!$D$5,Entradas[Centro de Custos],X!$E$14,Entradas[Status],X!$E$13)</f>
        <v>0</v>
      </c>
      <c r="P688" s="277"/>
      <c r="Q688" s="105">
        <f>SUMIFS(Saidas[Valores],Saidas[Fornecedor],P688,Saidas[Data da Competência],"&gt;="&amp;RESUMO!$C$4,Saidas[Data da Competência],"&lt;"&amp;RESUMO!$D$5,Saidas[Centro de Custos],X!$E$14,Saidas[Status],X!$E$13)</f>
        <v>0</v>
      </c>
    </row>
    <row r="689">
      <c r="M689" s="277"/>
      <c r="N689" s="105">
        <f>SUMIFS(Entradas[Valores],Entradas[Cliente],M689,Entradas[Data da Competência],"&gt;="&amp;RESUMO!$C$4,Entradas[Data da Competência],"&lt;"&amp;RESUMO!$D$5,Entradas[Centro de Custos],X!$E$14,Entradas[Status],X!$E$13)</f>
        <v>0</v>
      </c>
      <c r="P689" s="277"/>
      <c r="Q689" s="105">
        <f>SUMIFS(Saidas[Valores],Saidas[Fornecedor],P689,Saidas[Data da Competência],"&gt;="&amp;RESUMO!$C$4,Saidas[Data da Competência],"&lt;"&amp;RESUMO!$D$5,Saidas[Centro de Custos],X!$E$14,Saidas[Status],X!$E$13)</f>
        <v>0</v>
      </c>
    </row>
    <row r="690">
      <c r="M690" s="277"/>
      <c r="N690" s="105">
        <f>SUMIFS(Entradas[Valores],Entradas[Cliente],M690,Entradas[Data da Competência],"&gt;="&amp;RESUMO!$C$4,Entradas[Data da Competência],"&lt;"&amp;RESUMO!$D$5,Entradas[Centro de Custos],X!$E$14,Entradas[Status],X!$E$13)</f>
        <v>0</v>
      </c>
      <c r="P690" s="277"/>
      <c r="Q690" s="105">
        <f>SUMIFS(Saidas[Valores],Saidas[Fornecedor],P690,Saidas[Data da Competência],"&gt;="&amp;RESUMO!$C$4,Saidas[Data da Competência],"&lt;"&amp;RESUMO!$D$5,Saidas[Centro de Custos],X!$E$14,Saidas[Status],X!$E$13)</f>
        <v>0</v>
      </c>
    </row>
    <row r="691">
      <c r="M691" s="277"/>
      <c r="N691" s="105">
        <f>SUMIFS(Entradas[Valores],Entradas[Cliente],M691,Entradas[Data da Competência],"&gt;="&amp;RESUMO!$C$4,Entradas[Data da Competência],"&lt;"&amp;RESUMO!$D$5,Entradas[Centro de Custos],X!$E$14,Entradas[Status],X!$E$13)</f>
        <v>0</v>
      </c>
      <c r="P691" s="277"/>
      <c r="Q691" s="105">
        <f>SUMIFS(Saidas[Valores],Saidas[Fornecedor],P691,Saidas[Data da Competência],"&gt;="&amp;RESUMO!$C$4,Saidas[Data da Competência],"&lt;"&amp;RESUMO!$D$5,Saidas[Centro de Custos],X!$E$14,Saidas[Status],X!$E$13)</f>
        <v>0</v>
      </c>
    </row>
    <row r="692">
      <c r="M692" s="277"/>
      <c r="N692" s="105">
        <f>SUMIFS(Entradas[Valores],Entradas[Cliente],M692,Entradas[Data da Competência],"&gt;="&amp;RESUMO!$C$4,Entradas[Data da Competência],"&lt;"&amp;RESUMO!$D$5,Entradas[Centro de Custos],X!$E$14,Entradas[Status],X!$E$13)</f>
        <v>0</v>
      </c>
      <c r="P692" s="277"/>
      <c r="Q692" s="105">
        <f>SUMIFS(Saidas[Valores],Saidas[Fornecedor],P692,Saidas[Data da Competência],"&gt;="&amp;RESUMO!$C$4,Saidas[Data da Competência],"&lt;"&amp;RESUMO!$D$5,Saidas[Centro de Custos],X!$E$14,Saidas[Status],X!$E$13)</f>
        <v>0</v>
      </c>
    </row>
    <row r="693">
      <c r="M693" s="277"/>
      <c r="N693" s="105">
        <f>SUMIFS(Entradas[Valores],Entradas[Cliente],M693,Entradas[Data da Competência],"&gt;="&amp;RESUMO!$C$4,Entradas[Data da Competência],"&lt;"&amp;RESUMO!$D$5,Entradas[Centro de Custos],X!$E$14,Entradas[Status],X!$E$13)</f>
        <v>0</v>
      </c>
      <c r="P693" s="277"/>
      <c r="Q693" s="105">
        <f>SUMIFS(Saidas[Valores],Saidas[Fornecedor],P693,Saidas[Data da Competência],"&gt;="&amp;RESUMO!$C$4,Saidas[Data da Competência],"&lt;"&amp;RESUMO!$D$5,Saidas[Centro de Custos],X!$E$14,Saidas[Status],X!$E$13)</f>
        <v>0</v>
      </c>
    </row>
    <row r="694">
      <c r="M694" s="277"/>
      <c r="N694" s="105">
        <f>SUMIFS(Entradas[Valores],Entradas[Cliente],M694,Entradas[Data da Competência],"&gt;="&amp;RESUMO!$C$4,Entradas[Data da Competência],"&lt;"&amp;RESUMO!$D$5,Entradas[Centro de Custos],X!$E$14,Entradas[Status],X!$E$13)</f>
        <v>0</v>
      </c>
      <c r="P694" s="277"/>
      <c r="Q694" s="105">
        <f>SUMIFS(Saidas[Valores],Saidas[Fornecedor],P694,Saidas[Data da Competência],"&gt;="&amp;RESUMO!$C$4,Saidas[Data da Competência],"&lt;"&amp;RESUMO!$D$5,Saidas[Centro de Custos],X!$E$14,Saidas[Status],X!$E$13)</f>
        <v>0</v>
      </c>
    </row>
    <row r="695">
      <c r="M695" s="277"/>
      <c r="N695" s="105">
        <f>SUMIFS(Entradas[Valores],Entradas[Cliente],M695,Entradas[Data da Competência],"&gt;="&amp;RESUMO!$C$4,Entradas[Data da Competência],"&lt;"&amp;RESUMO!$D$5,Entradas[Centro de Custos],X!$E$14,Entradas[Status],X!$E$13)</f>
        <v>0</v>
      </c>
      <c r="P695" s="277"/>
      <c r="Q695" s="105">
        <f>SUMIFS(Saidas[Valores],Saidas[Fornecedor],P695,Saidas[Data da Competência],"&gt;="&amp;RESUMO!$C$4,Saidas[Data da Competência],"&lt;"&amp;RESUMO!$D$5,Saidas[Centro de Custos],X!$E$14,Saidas[Status],X!$E$13)</f>
        <v>0</v>
      </c>
    </row>
    <row r="696">
      <c r="M696" s="277"/>
      <c r="N696" s="105">
        <f>SUMIFS(Entradas[Valores],Entradas[Cliente],M696,Entradas[Data da Competência],"&gt;="&amp;RESUMO!$C$4,Entradas[Data da Competência],"&lt;"&amp;RESUMO!$D$5,Entradas[Centro de Custos],X!$E$14,Entradas[Status],X!$E$13)</f>
        <v>0</v>
      </c>
      <c r="P696" s="277"/>
      <c r="Q696" s="105">
        <f>SUMIFS(Saidas[Valores],Saidas[Fornecedor],P696,Saidas[Data da Competência],"&gt;="&amp;RESUMO!$C$4,Saidas[Data da Competência],"&lt;"&amp;RESUMO!$D$5,Saidas[Centro de Custos],X!$E$14,Saidas[Status],X!$E$13)</f>
        <v>0</v>
      </c>
    </row>
    <row r="697">
      <c r="M697" s="277"/>
      <c r="N697" s="105">
        <f>SUMIFS(Entradas[Valores],Entradas[Cliente],M697,Entradas[Data da Competência],"&gt;="&amp;RESUMO!$C$4,Entradas[Data da Competência],"&lt;"&amp;RESUMO!$D$5,Entradas[Centro de Custos],X!$E$14,Entradas[Status],X!$E$13)</f>
        <v>0</v>
      </c>
      <c r="P697" s="277"/>
      <c r="Q697" s="105">
        <f>SUMIFS(Saidas[Valores],Saidas[Fornecedor],P697,Saidas[Data da Competência],"&gt;="&amp;RESUMO!$C$4,Saidas[Data da Competência],"&lt;"&amp;RESUMO!$D$5,Saidas[Centro de Custos],X!$E$14,Saidas[Status],X!$E$13)</f>
        <v>0</v>
      </c>
    </row>
    <row r="698">
      <c r="M698" s="277"/>
      <c r="N698" s="105">
        <f>SUMIFS(Entradas[Valores],Entradas[Cliente],M698,Entradas[Data da Competência],"&gt;="&amp;RESUMO!$C$4,Entradas[Data da Competência],"&lt;"&amp;RESUMO!$D$5,Entradas[Centro de Custos],X!$E$14,Entradas[Status],X!$E$13)</f>
        <v>0</v>
      </c>
      <c r="P698" s="277"/>
      <c r="Q698" s="105">
        <f>SUMIFS(Saidas[Valores],Saidas[Fornecedor],P698,Saidas[Data da Competência],"&gt;="&amp;RESUMO!$C$4,Saidas[Data da Competência],"&lt;"&amp;RESUMO!$D$5,Saidas[Centro de Custos],X!$E$14,Saidas[Status],X!$E$13)</f>
        <v>0</v>
      </c>
    </row>
    <row r="699">
      <c r="M699" s="277"/>
      <c r="N699" s="105">
        <f>SUMIFS(Entradas[Valores],Entradas[Cliente],M699,Entradas[Data da Competência],"&gt;="&amp;RESUMO!$C$4,Entradas[Data da Competência],"&lt;"&amp;RESUMO!$D$5,Entradas[Centro de Custos],X!$E$14,Entradas[Status],X!$E$13)</f>
        <v>0</v>
      </c>
      <c r="P699" s="277"/>
      <c r="Q699" s="105">
        <f>SUMIFS(Saidas[Valores],Saidas[Fornecedor],P699,Saidas[Data da Competência],"&gt;="&amp;RESUMO!$C$4,Saidas[Data da Competência],"&lt;"&amp;RESUMO!$D$5,Saidas[Centro de Custos],X!$E$14,Saidas[Status],X!$E$13)</f>
        <v>0</v>
      </c>
    </row>
    <row r="700">
      <c r="M700" s="277"/>
      <c r="N700" s="105">
        <f>SUMIFS(Entradas[Valores],Entradas[Cliente],M700,Entradas[Data da Competência],"&gt;="&amp;RESUMO!$C$4,Entradas[Data da Competência],"&lt;"&amp;RESUMO!$D$5,Entradas[Centro de Custos],X!$E$14,Entradas[Status],X!$E$13)</f>
        <v>0</v>
      </c>
      <c r="P700" s="277"/>
      <c r="Q700" s="105">
        <f>SUMIFS(Saidas[Valores],Saidas[Fornecedor],P700,Saidas[Data da Competência],"&gt;="&amp;RESUMO!$C$4,Saidas[Data da Competência],"&lt;"&amp;RESUMO!$D$5,Saidas[Centro de Custos],X!$E$14,Saidas[Status],X!$E$13)</f>
        <v>0</v>
      </c>
    </row>
    <row r="701">
      <c r="M701" s="277"/>
      <c r="N701" s="105">
        <f>SUMIFS(Entradas[Valores],Entradas[Cliente],M701,Entradas[Data da Competência],"&gt;="&amp;RESUMO!$C$4,Entradas[Data da Competência],"&lt;"&amp;RESUMO!$D$5,Entradas[Centro de Custos],X!$E$14,Entradas[Status],X!$E$13)</f>
        <v>0</v>
      </c>
      <c r="P701" s="277"/>
      <c r="Q701" s="105">
        <f>SUMIFS(Saidas[Valores],Saidas[Fornecedor],P701,Saidas[Data da Competência],"&gt;="&amp;RESUMO!$C$4,Saidas[Data da Competência],"&lt;"&amp;RESUMO!$D$5,Saidas[Centro de Custos],X!$E$14,Saidas[Status],X!$E$13)</f>
        <v>0</v>
      </c>
    </row>
    <row r="702">
      <c r="M702" s="277"/>
      <c r="N702" s="105">
        <f>SUMIFS(Entradas[Valores],Entradas[Cliente],M702,Entradas[Data da Competência],"&gt;="&amp;RESUMO!$C$4,Entradas[Data da Competência],"&lt;"&amp;RESUMO!$D$5,Entradas[Centro de Custos],X!$E$14,Entradas[Status],X!$E$13)</f>
        <v>0</v>
      </c>
      <c r="P702" s="277"/>
      <c r="Q702" s="105">
        <f>SUMIFS(Saidas[Valores],Saidas[Fornecedor],P702,Saidas[Data da Competência],"&gt;="&amp;RESUMO!$C$4,Saidas[Data da Competência],"&lt;"&amp;RESUMO!$D$5,Saidas[Centro de Custos],X!$E$14,Saidas[Status],X!$E$13)</f>
        <v>0</v>
      </c>
    </row>
    <row r="703">
      <c r="M703" s="277"/>
      <c r="N703" s="105">
        <f>SUMIFS(Entradas[Valores],Entradas[Cliente],M703,Entradas[Data da Competência],"&gt;="&amp;RESUMO!$C$4,Entradas[Data da Competência],"&lt;"&amp;RESUMO!$D$5,Entradas[Centro de Custos],X!$E$14,Entradas[Status],X!$E$13)</f>
        <v>0</v>
      </c>
      <c r="P703" s="277"/>
      <c r="Q703" s="105">
        <f>SUMIFS(Saidas[Valores],Saidas[Fornecedor],P703,Saidas[Data da Competência],"&gt;="&amp;RESUMO!$C$4,Saidas[Data da Competência],"&lt;"&amp;RESUMO!$D$5,Saidas[Centro de Custos],X!$E$14,Saidas[Status],X!$E$13)</f>
        <v>0</v>
      </c>
    </row>
    <row r="704">
      <c r="M704" s="277"/>
      <c r="N704" s="105">
        <f>SUMIFS(Entradas[Valores],Entradas[Cliente],M704,Entradas[Data da Competência],"&gt;="&amp;RESUMO!$C$4,Entradas[Data da Competência],"&lt;"&amp;RESUMO!$D$5,Entradas[Centro de Custos],X!$E$14,Entradas[Status],X!$E$13)</f>
        <v>0</v>
      </c>
      <c r="P704" s="277"/>
      <c r="Q704" s="105">
        <f>SUMIFS(Saidas[Valores],Saidas[Fornecedor],P704,Saidas[Data da Competência],"&gt;="&amp;RESUMO!$C$4,Saidas[Data da Competência],"&lt;"&amp;RESUMO!$D$5,Saidas[Centro de Custos],X!$E$14,Saidas[Status],X!$E$13)</f>
        <v>0</v>
      </c>
    </row>
    <row r="705">
      <c r="M705" s="277"/>
      <c r="N705" s="105">
        <f>SUMIFS(Entradas[Valores],Entradas[Cliente],M705,Entradas[Data da Competência],"&gt;="&amp;RESUMO!$C$4,Entradas[Data da Competência],"&lt;"&amp;RESUMO!$D$5,Entradas[Centro de Custos],X!$E$14,Entradas[Status],X!$E$13)</f>
        <v>0</v>
      </c>
      <c r="P705" s="277"/>
      <c r="Q705" s="105">
        <f>SUMIFS(Saidas[Valores],Saidas[Fornecedor],P705,Saidas[Data da Competência],"&gt;="&amp;RESUMO!$C$4,Saidas[Data da Competência],"&lt;"&amp;RESUMO!$D$5,Saidas[Centro de Custos],X!$E$14,Saidas[Status],X!$E$13)</f>
        <v>0</v>
      </c>
    </row>
    <row r="706">
      <c r="M706" s="277"/>
      <c r="N706" s="105">
        <f>SUMIFS(Entradas[Valores],Entradas[Cliente],M706,Entradas[Data da Competência],"&gt;="&amp;RESUMO!$C$4,Entradas[Data da Competência],"&lt;"&amp;RESUMO!$D$5,Entradas[Centro de Custos],X!$E$14,Entradas[Status],X!$E$13)</f>
        <v>0</v>
      </c>
      <c r="P706" s="277"/>
      <c r="Q706" s="105">
        <f>SUMIFS(Saidas[Valores],Saidas[Fornecedor],P706,Saidas[Data da Competência],"&gt;="&amp;RESUMO!$C$4,Saidas[Data da Competência],"&lt;"&amp;RESUMO!$D$5,Saidas[Centro de Custos],X!$E$14,Saidas[Status],X!$E$13)</f>
        <v>0</v>
      </c>
    </row>
    <row r="707">
      <c r="M707" s="277"/>
      <c r="N707" s="105">
        <f>SUMIFS(Entradas[Valores],Entradas[Cliente],M707,Entradas[Data da Competência],"&gt;="&amp;RESUMO!$C$4,Entradas[Data da Competência],"&lt;"&amp;RESUMO!$D$5,Entradas[Centro de Custos],X!$E$14,Entradas[Status],X!$E$13)</f>
        <v>0</v>
      </c>
      <c r="P707" s="277"/>
      <c r="Q707" s="105">
        <f>SUMIFS(Saidas[Valores],Saidas[Fornecedor],P707,Saidas[Data da Competência],"&gt;="&amp;RESUMO!$C$4,Saidas[Data da Competência],"&lt;"&amp;RESUMO!$D$5,Saidas[Centro de Custos],X!$E$14,Saidas[Status],X!$E$13)</f>
        <v>0</v>
      </c>
    </row>
    <row r="708">
      <c r="M708" s="277"/>
      <c r="N708" s="105">
        <f>SUMIFS(Entradas[Valores],Entradas[Cliente],M708,Entradas[Data da Competência],"&gt;="&amp;RESUMO!$C$4,Entradas[Data da Competência],"&lt;"&amp;RESUMO!$D$5,Entradas[Centro de Custos],X!$E$14,Entradas[Status],X!$E$13)</f>
        <v>0</v>
      </c>
      <c r="P708" s="277"/>
      <c r="Q708" s="105">
        <f>SUMIFS(Saidas[Valores],Saidas[Fornecedor],P708,Saidas[Data da Competência],"&gt;="&amp;RESUMO!$C$4,Saidas[Data da Competência],"&lt;"&amp;RESUMO!$D$5,Saidas[Centro de Custos],X!$E$14,Saidas[Status],X!$E$13)</f>
        <v>0</v>
      </c>
    </row>
    <row r="709">
      <c r="M709" s="277"/>
      <c r="N709" s="105">
        <f>SUMIFS(Entradas[Valores],Entradas[Cliente],M709,Entradas[Data da Competência],"&gt;="&amp;RESUMO!$C$4,Entradas[Data da Competência],"&lt;"&amp;RESUMO!$D$5,Entradas[Centro de Custos],X!$E$14,Entradas[Status],X!$E$13)</f>
        <v>0</v>
      </c>
      <c r="P709" s="277"/>
      <c r="Q709" s="105">
        <f>SUMIFS(Saidas[Valores],Saidas[Fornecedor],P709,Saidas[Data da Competência],"&gt;="&amp;RESUMO!$C$4,Saidas[Data da Competência],"&lt;"&amp;RESUMO!$D$5,Saidas[Centro de Custos],X!$E$14,Saidas[Status],X!$E$13)</f>
        <v>0</v>
      </c>
    </row>
    <row r="710">
      <c r="M710" s="277"/>
      <c r="N710" s="105">
        <f>SUMIFS(Entradas[Valores],Entradas[Cliente],M710,Entradas[Data da Competência],"&gt;="&amp;RESUMO!$C$4,Entradas[Data da Competência],"&lt;"&amp;RESUMO!$D$5,Entradas[Centro de Custos],X!$E$14,Entradas[Status],X!$E$13)</f>
        <v>0</v>
      </c>
      <c r="P710" s="277"/>
      <c r="Q710" s="105">
        <f>SUMIFS(Saidas[Valores],Saidas[Fornecedor],P710,Saidas[Data da Competência],"&gt;="&amp;RESUMO!$C$4,Saidas[Data da Competência],"&lt;"&amp;RESUMO!$D$5,Saidas[Centro de Custos],X!$E$14,Saidas[Status],X!$E$13)</f>
        <v>0</v>
      </c>
    </row>
    <row r="711">
      <c r="M711" s="277"/>
      <c r="N711" s="105">
        <f>SUMIFS(Entradas[Valores],Entradas[Cliente],M711,Entradas[Data da Competência],"&gt;="&amp;RESUMO!$C$4,Entradas[Data da Competência],"&lt;"&amp;RESUMO!$D$5,Entradas[Centro de Custos],X!$E$14,Entradas[Status],X!$E$13)</f>
        <v>0</v>
      </c>
      <c r="P711" s="277"/>
      <c r="Q711" s="105">
        <f>SUMIFS(Saidas[Valores],Saidas[Fornecedor],P711,Saidas[Data da Competência],"&gt;="&amp;RESUMO!$C$4,Saidas[Data da Competência],"&lt;"&amp;RESUMO!$D$5,Saidas[Centro de Custos],X!$E$14,Saidas[Status],X!$E$13)</f>
        <v>0</v>
      </c>
    </row>
    <row r="712">
      <c r="M712" s="277"/>
      <c r="N712" s="105">
        <f>SUMIFS(Entradas[Valores],Entradas[Cliente],M712,Entradas[Data da Competência],"&gt;="&amp;RESUMO!$C$4,Entradas[Data da Competência],"&lt;"&amp;RESUMO!$D$5,Entradas[Centro de Custos],X!$E$14,Entradas[Status],X!$E$13)</f>
        <v>0</v>
      </c>
      <c r="P712" s="277"/>
      <c r="Q712" s="105">
        <f>SUMIFS(Saidas[Valores],Saidas[Fornecedor],P712,Saidas[Data da Competência],"&gt;="&amp;RESUMO!$C$4,Saidas[Data da Competência],"&lt;"&amp;RESUMO!$D$5,Saidas[Centro de Custos],X!$E$14,Saidas[Status],X!$E$13)</f>
        <v>0</v>
      </c>
    </row>
    <row r="713">
      <c r="M713" s="277"/>
      <c r="N713" s="105">
        <f>SUMIFS(Entradas[Valores],Entradas[Cliente],M713,Entradas[Data da Competência],"&gt;="&amp;RESUMO!$C$4,Entradas[Data da Competência],"&lt;"&amp;RESUMO!$D$5,Entradas[Centro de Custos],X!$E$14,Entradas[Status],X!$E$13)</f>
        <v>0</v>
      </c>
      <c r="P713" s="277"/>
      <c r="Q713" s="105">
        <f>SUMIFS(Saidas[Valores],Saidas[Fornecedor],P713,Saidas[Data da Competência],"&gt;="&amp;RESUMO!$C$4,Saidas[Data da Competência],"&lt;"&amp;RESUMO!$D$5,Saidas[Centro de Custos],X!$E$14,Saidas[Status],X!$E$13)</f>
        <v>0</v>
      </c>
    </row>
    <row r="714">
      <c r="M714" s="277"/>
      <c r="N714" s="105">
        <f>SUMIFS(Entradas[Valores],Entradas[Cliente],M714,Entradas[Data da Competência],"&gt;="&amp;RESUMO!$C$4,Entradas[Data da Competência],"&lt;"&amp;RESUMO!$D$5,Entradas[Centro de Custos],X!$E$14,Entradas[Status],X!$E$13)</f>
        <v>0</v>
      </c>
      <c r="P714" s="277"/>
      <c r="Q714" s="105">
        <f>SUMIFS(Saidas[Valores],Saidas[Fornecedor],P714,Saidas[Data da Competência],"&gt;="&amp;RESUMO!$C$4,Saidas[Data da Competência],"&lt;"&amp;RESUMO!$D$5,Saidas[Centro de Custos],X!$E$14,Saidas[Status],X!$E$13)</f>
        <v>0</v>
      </c>
    </row>
    <row r="715">
      <c r="M715" s="277"/>
      <c r="N715" s="105">
        <f>SUMIFS(Entradas[Valores],Entradas[Cliente],M715,Entradas[Data da Competência],"&gt;="&amp;RESUMO!$C$4,Entradas[Data da Competência],"&lt;"&amp;RESUMO!$D$5,Entradas[Centro de Custos],X!$E$14,Entradas[Status],X!$E$13)</f>
        <v>0</v>
      </c>
      <c r="P715" s="277"/>
      <c r="Q715" s="105">
        <f>SUMIFS(Saidas[Valores],Saidas[Fornecedor],P715,Saidas[Data da Competência],"&gt;="&amp;RESUMO!$C$4,Saidas[Data da Competência],"&lt;"&amp;RESUMO!$D$5,Saidas[Centro de Custos],X!$E$14,Saidas[Status],X!$E$13)</f>
        <v>0</v>
      </c>
    </row>
    <row r="716">
      <c r="M716" s="277"/>
      <c r="N716" s="105">
        <f>SUMIFS(Entradas[Valores],Entradas[Cliente],M716,Entradas[Data da Competência],"&gt;="&amp;RESUMO!$C$4,Entradas[Data da Competência],"&lt;"&amp;RESUMO!$D$5,Entradas[Centro de Custos],X!$E$14,Entradas[Status],X!$E$13)</f>
        <v>0</v>
      </c>
      <c r="P716" s="277"/>
      <c r="Q716" s="105">
        <f>SUMIFS(Saidas[Valores],Saidas[Fornecedor],P716,Saidas[Data da Competência],"&gt;="&amp;RESUMO!$C$4,Saidas[Data da Competência],"&lt;"&amp;RESUMO!$D$5,Saidas[Centro de Custos],X!$E$14,Saidas[Status],X!$E$13)</f>
        <v>0</v>
      </c>
    </row>
    <row r="717">
      <c r="M717" s="277"/>
      <c r="N717" s="105">
        <f>SUMIFS(Entradas[Valores],Entradas[Cliente],M717,Entradas[Data da Competência],"&gt;="&amp;RESUMO!$C$4,Entradas[Data da Competência],"&lt;"&amp;RESUMO!$D$5,Entradas[Centro de Custos],X!$E$14,Entradas[Status],X!$E$13)</f>
        <v>0</v>
      </c>
      <c r="P717" s="277"/>
      <c r="Q717" s="105">
        <f>SUMIFS(Saidas[Valores],Saidas[Fornecedor],P717,Saidas[Data da Competência],"&gt;="&amp;RESUMO!$C$4,Saidas[Data da Competência],"&lt;"&amp;RESUMO!$D$5,Saidas[Centro de Custos],X!$E$14,Saidas[Status],X!$E$13)</f>
        <v>0</v>
      </c>
    </row>
    <row r="718">
      <c r="M718" s="277"/>
      <c r="N718" s="105">
        <f>SUMIFS(Entradas[Valores],Entradas[Cliente],M718,Entradas[Data da Competência],"&gt;="&amp;RESUMO!$C$4,Entradas[Data da Competência],"&lt;"&amp;RESUMO!$D$5,Entradas[Centro de Custos],X!$E$14,Entradas[Status],X!$E$13)</f>
        <v>0</v>
      </c>
      <c r="P718" s="277"/>
      <c r="Q718" s="105">
        <f>SUMIFS(Saidas[Valores],Saidas[Fornecedor],P718,Saidas[Data da Competência],"&gt;="&amp;RESUMO!$C$4,Saidas[Data da Competência],"&lt;"&amp;RESUMO!$D$5,Saidas[Centro de Custos],X!$E$14,Saidas[Status],X!$E$13)</f>
        <v>0</v>
      </c>
    </row>
    <row r="719">
      <c r="M719" s="277"/>
      <c r="N719" s="105">
        <f>SUMIFS(Entradas[Valores],Entradas[Cliente],M719,Entradas[Data da Competência],"&gt;="&amp;RESUMO!$C$4,Entradas[Data da Competência],"&lt;"&amp;RESUMO!$D$5,Entradas[Centro de Custos],X!$E$14,Entradas[Status],X!$E$13)</f>
        <v>0</v>
      </c>
      <c r="P719" s="277"/>
      <c r="Q719" s="105">
        <f>SUMIFS(Saidas[Valores],Saidas[Fornecedor],P719,Saidas[Data da Competência],"&gt;="&amp;RESUMO!$C$4,Saidas[Data da Competência],"&lt;"&amp;RESUMO!$D$5,Saidas[Centro de Custos],X!$E$14,Saidas[Status],X!$E$13)</f>
        <v>0</v>
      </c>
    </row>
    <row r="720">
      <c r="M720" s="277"/>
      <c r="N720" s="105">
        <f>SUMIFS(Entradas[Valores],Entradas[Cliente],M720,Entradas[Data da Competência],"&gt;="&amp;RESUMO!$C$4,Entradas[Data da Competência],"&lt;"&amp;RESUMO!$D$5,Entradas[Centro de Custos],X!$E$14,Entradas[Status],X!$E$13)</f>
        <v>0</v>
      </c>
      <c r="P720" s="277"/>
      <c r="Q720" s="105">
        <f>SUMIFS(Saidas[Valores],Saidas[Fornecedor],P720,Saidas[Data da Competência],"&gt;="&amp;RESUMO!$C$4,Saidas[Data da Competência],"&lt;"&amp;RESUMO!$D$5,Saidas[Centro de Custos],X!$E$14,Saidas[Status],X!$E$13)</f>
        <v>0</v>
      </c>
    </row>
    <row r="721">
      <c r="M721" s="277"/>
      <c r="N721" s="105">
        <f>SUMIFS(Entradas[Valores],Entradas[Cliente],M721,Entradas[Data da Competência],"&gt;="&amp;RESUMO!$C$4,Entradas[Data da Competência],"&lt;"&amp;RESUMO!$D$5,Entradas[Centro de Custos],X!$E$14,Entradas[Status],X!$E$13)</f>
        <v>0</v>
      </c>
      <c r="P721" s="277"/>
      <c r="Q721" s="105">
        <f>SUMIFS(Saidas[Valores],Saidas[Fornecedor],P721,Saidas[Data da Competência],"&gt;="&amp;RESUMO!$C$4,Saidas[Data da Competência],"&lt;"&amp;RESUMO!$D$5,Saidas[Centro de Custos],X!$E$14,Saidas[Status],X!$E$13)</f>
        <v>0</v>
      </c>
    </row>
    <row r="722">
      <c r="M722" s="277"/>
      <c r="N722" s="105">
        <f>SUMIFS(Entradas[Valores],Entradas[Cliente],M722,Entradas[Data da Competência],"&gt;="&amp;RESUMO!$C$4,Entradas[Data da Competência],"&lt;"&amp;RESUMO!$D$5,Entradas[Centro de Custos],X!$E$14,Entradas[Status],X!$E$13)</f>
        <v>0</v>
      </c>
      <c r="P722" s="277"/>
      <c r="Q722" s="105">
        <f>SUMIFS(Saidas[Valores],Saidas[Fornecedor],P722,Saidas[Data da Competência],"&gt;="&amp;RESUMO!$C$4,Saidas[Data da Competência],"&lt;"&amp;RESUMO!$D$5,Saidas[Centro de Custos],X!$E$14,Saidas[Status],X!$E$13)</f>
        <v>0</v>
      </c>
    </row>
    <row r="723">
      <c r="M723" s="277"/>
      <c r="N723" s="105">
        <f>SUMIFS(Entradas[Valores],Entradas[Cliente],M723,Entradas[Data da Competência],"&gt;="&amp;RESUMO!$C$4,Entradas[Data da Competência],"&lt;"&amp;RESUMO!$D$5,Entradas[Centro de Custos],X!$E$14,Entradas[Status],X!$E$13)</f>
        <v>0</v>
      </c>
      <c r="P723" s="277"/>
      <c r="Q723" s="105">
        <f>SUMIFS(Saidas[Valores],Saidas[Fornecedor],P723,Saidas[Data da Competência],"&gt;="&amp;RESUMO!$C$4,Saidas[Data da Competência],"&lt;"&amp;RESUMO!$D$5,Saidas[Centro de Custos],X!$E$14,Saidas[Status],X!$E$13)</f>
        <v>0</v>
      </c>
    </row>
    <row r="724">
      <c r="M724" s="277"/>
      <c r="N724" s="105">
        <f>SUMIFS(Entradas[Valores],Entradas[Cliente],M724,Entradas[Data da Competência],"&gt;="&amp;RESUMO!$C$4,Entradas[Data da Competência],"&lt;"&amp;RESUMO!$D$5,Entradas[Centro de Custos],X!$E$14,Entradas[Status],X!$E$13)</f>
        <v>0</v>
      </c>
      <c r="P724" s="277"/>
      <c r="Q724" s="105">
        <f>SUMIFS(Saidas[Valores],Saidas[Fornecedor],P724,Saidas[Data da Competência],"&gt;="&amp;RESUMO!$C$4,Saidas[Data da Competência],"&lt;"&amp;RESUMO!$D$5,Saidas[Centro de Custos],X!$E$14,Saidas[Status],X!$E$13)</f>
        <v>0</v>
      </c>
    </row>
    <row r="725">
      <c r="M725" s="277"/>
      <c r="N725" s="105">
        <f>SUMIFS(Entradas[Valores],Entradas[Cliente],M725,Entradas[Data da Competência],"&gt;="&amp;RESUMO!$C$4,Entradas[Data da Competência],"&lt;"&amp;RESUMO!$D$5,Entradas[Centro de Custos],X!$E$14,Entradas[Status],X!$E$13)</f>
        <v>0</v>
      </c>
      <c r="P725" s="277"/>
      <c r="Q725" s="105">
        <f>SUMIFS(Saidas[Valores],Saidas[Fornecedor],P725,Saidas[Data da Competência],"&gt;="&amp;RESUMO!$C$4,Saidas[Data da Competência],"&lt;"&amp;RESUMO!$D$5,Saidas[Centro de Custos],X!$E$14,Saidas[Status],X!$E$13)</f>
        <v>0</v>
      </c>
    </row>
    <row r="726">
      <c r="M726" s="277"/>
      <c r="N726" s="105">
        <f>SUMIFS(Entradas[Valores],Entradas[Cliente],M726,Entradas[Data da Competência],"&gt;="&amp;RESUMO!$C$4,Entradas[Data da Competência],"&lt;"&amp;RESUMO!$D$5,Entradas[Centro de Custos],X!$E$14,Entradas[Status],X!$E$13)</f>
        <v>0</v>
      </c>
      <c r="P726" s="277"/>
      <c r="Q726" s="105">
        <f>SUMIFS(Saidas[Valores],Saidas[Fornecedor],P726,Saidas[Data da Competência],"&gt;="&amp;RESUMO!$C$4,Saidas[Data da Competência],"&lt;"&amp;RESUMO!$D$5,Saidas[Centro de Custos],X!$E$14,Saidas[Status],X!$E$13)</f>
        <v>0</v>
      </c>
    </row>
    <row r="727">
      <c r="M727" s="277"/>
      <c r="N727" s="105">
        <f>SUMIFS(Entradas[Valores],Entradas[Cliente],M727,Entradas[Data da Competência],"&gt;="&amp;RESUMO!$C$4,Entradas[Data da Competência],"&lt;"&amp;RESUMO!$D$5,Entradas[Centro de Custos],X!$E$14,Entradas[Status],X!$E$13)</f>
        <v>0</v>
      </c>
      <c r="P727" s="277"/>
      <c r="Q727" s="105">
        <f>SUMIFS(Saidas[Valores],Saidas[Fornecedor],P727,Saidas[Data da Competência],"&gt;="&amp;RESUMO!$C$4,Saidas[Data da Competência],"&lt;"&amp;RESUMO!$D$5,Saidas[Centro de Custos],X!$E$14,Saidas[Status],X!$E$13)</f>
        <v>0</v>
      </c>
    </row>
    <row r="728">
      <c r="M728" s="277"/>
      <c r="N728" s="105">
        <f>SUMIFS(Entradas[Valores],Entradas[Cliente],M728,Entradas[Data da Competência],"&gt;="&amp;RESUMO!$C$4,Entradas[Data da Competência],"&lt;"&amp;RESUMO!$D$5,Entradas[Centro de Custos],X!$E$14,Entradas[Status],X!$E$13)</f>
        <v>0</v>
      </c>
      <c r="P728" s="277"/>
      <c r="Q728" s="105">
        <f>SUMIFS(Saidas[Valores],Saidas[Fornecedor],P728,Saidas[Data da Competência],"&gt;="&amp;RESUMO!$C$4,Saidas[Data da Competência],"&lt;"&amp;RESUMO!$D$5,Saidas[Centro de Custos],X!$E$14,Saidas[Status],X!$E$13)</f>
        <v>0</v>
      </c>
    </row>
    <row r="729">
      <c r="M729" s="277"/>
      <c r="N729" s="105">
        <f>SUMIFS(Entradas[Valores],Entradas[Cliente],M729,Entradas[Data da Competência],"&gt;="&amp;RESUMO!$C$4,Entradas[Data da Competência],"&lt;"&amp;RESUMO!$D$5,Entradas[Centro de Custos],X!$E$14,Entradas[Status],X!$E$13)</f>
        <v>0</v>
      </c>
      <c r="P729" s="277"/>
      <c r="Q729" s="105">
        <f>SUMIFS(Saidas[Valores],Saidas[Fornecedor],P729,Saidas[Data da Competência],"&gt;="&amp;RESUMO!$C$4,Saidas[Data da Competência],"&lt;"&amp;RESUMO!$D$5,Saidas[Centro de Custos],X!$E$14,Saidas[Status],X!$E$13)</f>
        <v>0</v>
      </c>
    </row>
    <row r="730">
      <c r="M730" s="277"/>
      <c r="N730" s="105">
        <f>SUMIFS(Entradas[Valores],Entradas[Cliente],M730,Entradas[Data da Competência],"&gt;="&amp;RESUMO!$C$4,Entradas[Data da Competência],"&lt;"&amp;RESUMO!$D$5,Entradas[Centro de Custos],X!$E$14,Entradas[Status],X!$E$13)</f>
        <v>0</v>
      </c>
      <c r="P730" s="277"/>
      <c r="Q730" s="105">
        <f>SUMIFS(Saidas[Valores],Saidas[Fornecedor],P730,Saidas[Data da Competência],"&gt;="&amp;RESUMO!$C$4,Saidas[Data da Competência],"&lt;"&amp;RESUMO!$D$5,Saidas[Centro de Custos],X!$E$14,Saidas[Status],X!$E$13)</f>
        <v>0</v>
      </c>
    </row>
    <row r="731">
      <c r="M731" s="277"/>
      <c r="N731" s="105">
        <f>SUMIFS(Entradas[Valores],Entradas[Cliente],M731,Entradas[Data da Competência],"&gt;="&amp;RESUMO!$C$4,Entradas[Data da Competência],"&lt;"&amp;RESUMO!$D$5,Entradas[Centro de Custos],X!$E$14,Entradas[Status],X!$E$13)</f>
        <v>0</v>
      </c>
      <c r="P731" s="277"/>
      <c r="Q731" s="105">
        <f>SUMIFS(Saidas[Valores],Saidas[Fornecedor],P731,Saidas[Data da Competência],"&gt;="&amp;RESUMO!$C$4,Saidas[Data da Competência],"&lt;"&amp;RESUMO!$D$5,Saidas[Centro de Custos],X!$E$14,Saidas[Status],X!$E$13)</f>
        <v>0</v>
      </c>
    </row>
    <row r="732">
      <c r="M732" s="277"/>
      <c r="N732" s="105">
        <f>SUMIFS(Entradas[Valores],Entradas[Cliente],M732,Entradas[Data da Competência],"&gt;="&amp;RESUMO!$C$4,Entradas[Data da Competência],"&lt;"&amp;RESUMO!$D$5,Entradas[Centro de Custos],X!$E$14,Entradas[Status],X!$E$13)</f>
        <v>0</v>
      </c>
      <c r="P732" s="277"/>
      <c r="Q732" s="105">
        <f>SUMIFS(Saidas[Valores],Saidas[Fornecedor],P732,Saidas[Data da Competência],"&gt;="&amp;RESUMO!$C$4,Saidas[Data da Competência],"&lt;"&amp;RESUMO!$D$5,Saidas[Centro de Custos],X!$E$14,Saidas[Status],X!$E$13)</f>
        <v>0</v>
      </c>
    </row>
    <row r="733">
      <c r="M733" s="277"/>
      <c r="N733" s="105">
        <f>SUMIFS(Entradas[Valores],Entradas[Cliente],M733,Entradas[Data da Competência],"&gt;="&amp;RESUMO!$C$4,Entradas[Data da Competência],"&lt;"&amp;RESUMO!$D$5,Entradas[Centro de Custos],X!$E$14,Entradas[Status],X!$E$13)</f>
        <v>0</v>
      </c>
      <c r="P733" s="277"/>
      <c r="Q733" s="105">
        <f>SUMIFS(Saidas[Valores],Saidas[Fornecedor],P733,Saidas[Data da Competência],"&gt;="&amp;RESUMO!$C$4,Saidas[Data da Competência],"&lt;"&amp;RESUMO!$D$5,Saidas[Centro de Custos],X!$E$14,Saidas[Status],X!$E$13)</f>
        <v>0</v>
      </c>
    </row>
    <row r="734">
      <c r="M734" s="277"/>
      <c r="N734" s="105">
        <f>SUMIFS(Entradas[Valores],Entradas[Cliente],M734,Entradas[Data da Competência],"&gt;="&amp;RESUMO!$C$4,Entradas[Data da Competência],"&lt;"&amp;RESUMO!$D$5,Entradas[Centro de Custos],X!$E$14,Entradas[Status],X!$E$13)</f>
        <v>0</v>
      </c>
      <c r="P734" s="277"/>
      <c r="Q734" s="105">
        <f>SUMIFS(Saidas[Valores],Saidas[Fornecedor],P734,Saidas[Data da Competência],"&gt;="&amp;RESUMO!$C$4,Saidas[Data da Competência],"&lt;"&amp;RESUMO!$D$5,Saidas[Centro de Custos],X!$E$14,Saidas[Status],X!$E$13)</f>
        <v>0</v>
      </c>
    </row>
    <row r="735">
      <c r="M735" s="277"/>
      <c r="N735" s="105">
        <f>SUMIFS(Entradas[Valores],Entradas[Cliente],M735,Entradas[Data da Competência],"&gt;="&amp;RESUMO!$C$4,Entradas[Data da Competência],"&lt;"&amp;RESUMO!$D$5,Entradas[Centro de Custos],X!$E$14,Entradas[Status],X!$E$13)</f>
        <v>0</v>
      </c>
      <c r="P735" s="277"/>
      <c r="Q735" s="105">
        <f>SUMIFS(Saidas[Valores],Saidas[Fornecedor],P735,Saidas[Data da Competência],"&gt;="&amp;RESUMO!$C$4,Saidas[Data da Competência],"&lt;"&amp;RESUMO!$D$5,Saidas[Centro de Custos],X!$E$14,Saidas[Status],X!$E$13)</f>
        <v>0</v>
      </c>
    </row>
    <row r="736">
      <c r="M736" s="277"/>
      <c r="N736" s="105">
        <f>SUMIFS(Entradas[Valores],Entradas[Cliente],M736,Entradas[Data da Competência],"&gt;="&amp;RESUMO!$C$4,Entradas[Data da Competência],"&lt;"&amp;RESUMO!$D$5,Entradas[Centro de Custos],X!$E$14,Entradas[Status],X!$E$13)</f>
        <v>0</v>
      </c>
      <c r="P736" s="277"/>
      <c r="Q736" s="105">
        <f>SUMIFS(Saidas[Valores],Saidas[Fornecedor],P736,Saidas[Data da Competência],"&gt;="&amp;RESUMO!$C$4,Saidas[Data da Competência],"&lt;"&amp;RESUMO!$D$5,Saidas[Centro de Custos],X!$E$14,Saidas[Status],X!$E$13)</f>
        <v>0</v>
      </c>
    </row>
    <row r="737">
      <c r="M737" s="277"/>
      <c r="N737" s="105">
        <f>SUMIFS(Entradas[Valores],Entradas[Cliente],M737,Entradas[Data da Competência],"&gt;="&amp;RESUMO!$C$4,Entradas[Data da Competência],"&lt;"&amp;RESUMO!$D$5,Entradas[Centro de Custos],X!$E$14,Entradas[Status],X!$E$13)</f>
        <v>0</v>
      </c>
      <c r="P737" s="277"/>
      <c r="Q737" s="105">
        <f>SUMIFS(Saidas[Valores],Saidas[Fornecedor],P737,Saidas[Data da Competência],"&gt;="&amp;RESUMO!$C$4,Saidas[Data da Competência],"&lt;"&amp;RESUMO!$D$5,Saidas[Centro de Custos],X!$E$14,Saidas[Status],X!$E$13)</f>
        <v>0</v>
      </c>
    </row>
    <row r="738">
      <c r="M738" s="277"/>
      <c r="N738" s="105">
        <f>SUMIFS(Entradas[Valores],Entradas[Cliente],M738,Entradas[Data da Competência],"&gt;="&amp;RESUMO!$C$4,Entradas[Data da Competência],"&lt;"&amp;RESUMO!$D$5,Entradas[Centro de Custos],X!$E$14,Entradas[Status],X!$E$13)</f>
        <v>0</v>
      </c>
      <c r="P738" s="277"/>
      <c r="Q738" s="105">
        <f>SUMIFS(Saidas[Valores],Saidas[Fornecedor],P738,Saidas[Data da Competência],"&gt;="&amp;RESUMO!$C$4,Saidas[Data da Competência],"&lt;"&amp;RESUMO!$D$5,Saidas[Centro de Custos],X!$E$14,Saidas[Status],X!$E$13)</f>
        <v>0</v>
      </c>
    </row>
    <row r="739">
      <c r="M739" s="277"/>
      <c r="N739" s="105">
        <f>SUMIFS(Entradas[Valores],Entradas[Cliente],M739,Entradas[Data da Competência],"&gt;="&amp;RESUMO!$C$4,Entradas[Data da Competência],"&lt;"&amp;RESUMO!$D$5,Entradas[Centro de Custos],X!$E$14,Entradas[Status],X!$E$13)</f>
        <v>0</v>
      </c>
      <c r="P739" s="277"/>
      <c r="Q739" s="105">
        <f>SUMIFS(Saidas[Valores],Saidas[Fornecedor],P739,Saidas[Data da Competência],"&gt;="&amp;RESUMO!$C$4,Saidas[Data da Competência],"&lt;"&amp;RESUMO!$D$5,Saidas[Centro de Custos],X!$E$14,Saidas[Status],X!$E$13)</f>
        <v>0</v>
      </c>
    </row>
    <row r="740">
      <c r="M740" s="277"/>
      <c r="N740" s="105">
        <f>SUMIFS(Entradas[Valores],Entradas[Cliente],M740,Entradas[Data da Competência],"&gt;="&amp;RESUMO!$C$4,Entradas[Data da Competência],"&lt;"&amp;RESUMO!$D$5,Entradas[Centro de Custos],X!$E$14,Entradas[Status],X!$E$13)</f>
        <v>0</v>
      </c>
      <c r="P740" s="277"/>
      <c r="Q740" s="105">
        <f>SUMIFS(Saidas[Valores],Saidas[Fornecedor],P740,Saidas[Data da Competência],"&gt;="&amp;RESUMO!$C$4,Saidas[Data da Competência],"&lt;"&amp;RESUMO!$D$5,Saidas[Centro de Custos],X!$E$14,Saidas[Status],X!$E$13)</f>
        <v>0</v>
      </c>
    </row>
    <row r="741">
      <c r="M741" s="277"/>
      <c r="N741" s="105">
        <f>SUMIFS(Entradas[Valores],Entradas[Cliente],M741,Entradas[Data da Competência],"&gt;="&amp;RESUMO!$C$4,Entradas[Data da Competência],"&lt;"&amp;RESUMO!$D$5,Entradas[Centro de Custos],X!$E$14,Entradas[Status],X!$E$13)</f>
        <v>0</v>
      </c>
      <c r="P741" s="277"/>
      <c r="Q741" s="105">
        <f>SUMIFS(Saidas[Valores],Saidas[Fornecedor],P741,Saidas[Data da Competência],"&gt;="&amp;RESUMO!$C$4,Saidas[Data da Competência],"&lt;"&amp;RESUMO!$D$5,Saidas[Centro de Custos],X!$E$14,Saidas[Status],X!$E$13)</f>
        <v>0</v>
      </c>
    </row>
    <row r="742">
      <c r="M742" s="277"/>
      <c r="N742" s="105">
        <f>SUMIFS(Entradas[Valores],Entradas[Cliente],M742,Entradas[Data da Competência],"&gt;="&amp;RESUMO!$C$4,Entradas[Data da Competência],"&lt;"&amp;RESUMO!$D$5,Entradas[Centro de Custos],X!$E$14,Entradas[Status],X!$E$13)</f>
        <v>0</v>
      </c>
      <c r="P742" s="277"/>
      <c r="Q742" s="105">
        <f>SUMIFS(Saidas[Valores],Saidas[Fornecedor],P742,Saidas[Data da Competência],"&gt;="&amp;RESUMO!$C$4,Saidas[Data da Competência],"&lt;"&amp;RESUMO!$D$5,Saidas[Centro de Custos],X!$E$14,Saidas[Status],X!$E$13)</f>
        <v>0</v>
      </c>
    </row>
    <row r="743">
      <c r="M743" s="277"/>
      <c r="N743" s="105">
        <f>SUMIFS(Entradas[Valores],Entradas[Cliente],M743,Entradas[Data da Competência],"&gt;="&amp;RESUMO!$C$4,Entradas[Data da Competência],"&lt;"&amp;RESUMO!$D$5,Entradas[Centro de Custos],X!$E$14,Entradas[Status],X!$E$13)</f>
        <v>0</v>
      </c>
      <c r="P743" s="277"/>
      <c r="Q743" s="105">
        <f>SUMIFS(Saidas[Valores],Saidas[Fornecedor],P743,Saidas[Data da Competência],"&gt;="&amp;RESUMO!$C$4,Saidas[Data da Competência],"&lt;"&amp;RESUMO!$D$5,Saidas[Centro de Custos],X!$E$14,Saidas[Status],X!$E$13)</f>
        <v>0</v>
      </c>
    </row>
    <row r="744">
      <c r="M744" s="277"/>
      <c r="N744" s="105">
        <f>SUMIFS(Entradas[Valores],Entradas[Cliente],M744,Entradas[Data da Competência],"&gt;="&amp;RESUMO!$C$4,Entradas[Data da Competência],"&lt;"&amp;RESUMO!$D$5,Entradas[Centro de Custos],X!$E$14,Entradas[Status],X!$E$13)</f>
        <v>0</v>
      </c>
      <c r="P744" s="277"/>
      <c r="Q744" s="105">
        <f>SUMIFS(Saidas[Valores],Saidas[Fornecedor],P744,Saidas[Data da Competência],"&gt;="&amp;RESUMO!$C$4,Saidas[Data da Competência],"&lt;"&amp;RESUMO!$D$5,Saidas[Centro de Custos],X!$E$14,Saidas[Status],X!$E$13)</f>
        <v>0</v>
      </c>
    </row>
    <row r="745">
      <c r="M745" s="277"/>
      <c r="N745" s="105">
        <f>SUMIFS(Entradas[Valores],Entradas[Cliente],M745,Entradas[Data da Competência],"&gt;="&amp;RESUMO!$C$4,Entradas[Data da Competência],"&lt;"&amp;RESUMO!$D$5,Entradas[Centro de Custos],X!$E$14,Entradas[Status],X!$E$13)</f>
        <v>0</v>
      </c>
      <c r="P745" s="277"/>
      <c r="Q745" s="105">
        <f>SUMIFS(Saidas[Valores],Saidas[Fornecedor],P745,Saidas[Data da Competência],"&gt;="&amp;RESUMO!$C$4,Saidas[Data da Competência],"&lt;"&amp;RESUMO!$D$5,Saidas[Centro de Custos],X!$E$14,Saidas[Status],X!$E$13)</f>
        <v>0</v>
      </c>
    </row>
    <row r="746">
      <c r="M746" s="277"/>
      <c r="N746" s="105">
        <f>SUMIFS(Entradas[Valores],Entradas[Cliente],M746,Entradas[Data da Competência],"&gt;="&amp;RESUMO!$C$4,Entradas[Data da Competência],"&lt;"&amp;RESUMO!$D$5,Entradas[Centro de Custos],X!$E$14,Entradas[Status],X!$E$13)</f>
        <v>0</v>
      </c>
      <c r="P746" s="277"/>
      <c r="Q746" s="105">
        <f>SUMIFS(Saidas[Valores],Saidas[Fornecedor],P746,Saidas[Data da Competência],"&gt;="&amp;RESUMO!$C$4,Saidas[Data da Competência],"&lt;"&amp;RESUMO!$D$5,Saidas[Centro de Custos],X!$E$14,Saidas[Status],X!$E$13)</f>
        <v>0</v>
      </c>
    </row>
    <row r="747">
      <c r="M747" s="277"/>
      <c r="N747" s="105">
        <f>SUMIFS(Entradas[Valores],Entradas[Cliente],M747,Entradas[Data da Competência],"&gt;="&amp;RESUMO!$C$4,Entradas[Data da Competência],"&lt;"&amp;RESUMO!$D$5,Entradas[Centro de Custos],X!$E$14,Entradas[Status],X!$E$13)</f>
        <v>0</v>
      </c>
      <c r="P747" s="277"/>
      <c r="Q747" s="105">
        <f>SUMIFS(Saidas[Valores],Saidas[Fornecedor],P747,Saidas[Data da Competência],"&gt;="&amp;RESUMO!$C$4,Saidas[Data da Competência],"&lt;"&amp;RESUMO!$D$5,Saidas[Centro de Custos],X!$E$14,Saidas[Status],X!$E$13)</f>
        <v>0</v>
      </c>
    </row>
    <row r="748">
      <c r="M748" s="277"/>
      <c r="N748" s="105">
        <f>SUMIFS(Entradas[Valores],Entradas[Cliente],M748,Entradas[Data da Competência],"&gt;="&amp;RESUMO!$C$4,Entradas[Data da Competência],"&lt;"&amp;RESUMO!$D$5,Entradas[Centro de Custos],X!$E$14,Entradas[Status],X!$E$13)</f>
        <v>0</v>
      </c>
      <c r="P748" s="277"/>
      <c r="Q748" s="105">
        <f>SUMIFS(Saidas[Valores],Saidas[Fornecedor],P748,Saidas[Data da Competência],"&gt;="&amp;RESUMO!$C$4,Saidas[Data da Competência],"&lt;"&amp;RESUMO!$D$5,Saidas[Centro de Custos],X!$E$14,Saidas[Status],X!$E$13)</f>
        <v>0</v>
      </c>
    </row>
    <row r="749">
      <c r="M749" s="277"/>
      <c r="N749" s="105">
        <f>SUMIFS(Entradas[Valores],Entradas[Cliente],M749,Entradas[Data da Competência],"&gt;="&amp;RESUMO!$C$4,Entradas[Data da Competência],"&lt;"&amp;RESUMO!$D$5,Entradas[Centro de Custos],X!$E$14,Entradas[Status],X!$E$13)</f>
        <v>0</v>
      </c>
      <c r="P749" s="277"/>
      <c r="Q749" s="105">
        <f>SUMIFS(Saidas[Valores],Saidas[Fornecedor],P749,Saidas[Data da Competência],"&gt;="&amp;RESUMO!$C$4,Saidas[Data da Competência],"&lt;"&amp;RESUMO!$D$5,Saidas[Centro de Custos],X!$E$14,Saidas[Status],X!$E$13)</f>
        <v>0</v>
      </c>
    </row>
    <row r="750">
      <c r="M750" s="277"/>
      <c r="N750" s="105">
        <f>SUMIFS(Entradas[Valores],Entradas[Cliente],M750,Entradas[Data da Competência],"&gt;="&amp;RESUMO!$C$4,Entradas[Data da Competência],"&lt;"&amp;RESUMO!$D$5,Entradas[Centro de Custos],X!$E$14,Entradas[Status],X!$E$13)</f>
        <v>0</v>
      </c>
      <c r="P750" s="277"/>
      <c r="Q750" s="105">
        <f>SUMIFS(Saidas[Valores],Saidas[Fornecedor],P750,Saidas[Data da Competência],"&gt;="&amp;RESUMO!$C$4,Saidas[Data da Competência],"&lt;"&amp;RESUMO!$D$5,Saidas[Centro de Custos],X!$E$14,Saidas[Status],X!$E$13)</f>
        <v>0</v>
      </c>
    </row>
    <row r="751">
      <c r="M751" s="277"/>
      <c r="N751" s="105">
        <f>SUMIFS(Entradas[Valores],Entradas[Cliente],M751,Entradas[Data da Competência],"&gt;="&amp;RESUMO!$C$4,Entradas[Data da Competência],"&lt;"&amp;RESUMO!$D$5,Entradas[Centro de Custos],X!$E$14,Entradas[Status],X!$E$13)</f>
        <v>0</v>
      </c>
      <c r="P751" s="277"/>
      <c r="Q751" s="105">
        <f>SUMIFS(Saidas[Valores],Saidas[Fornecedor],P751,Saidas[Data da Competência],"&gt;="&amp;RESUMO!$C$4,Saidas[Data da Competência],"&lt;"&amp;RESUMO!$D$5,Saidas[Centro de Custos],X!$E$14,Saidas[Status],X!$E$13)</f>
        <v>0</v>
      </c>
    </row>
    <row r="752">
      <c r="M752" s="277"/>
      <c r="N752" s="105">
        <f>SUMIFS(Entradas[Valores],Entradas[Cliente],M752,Entradas[Data da Competência],"&gt;="&amp;RESUMO!$C$4,Entradas[Data da Competência],"&lt;"&amp;RESUMO!$D$5,Entradas[Centro de Custos],X!$E$14,Entradas[Status],X!$E$13)</f>
        <v>0</v>
      </c>
      <c r="P752" s="277"/>
      <c r="Q752" s="105">
        <f>SUMIFS(Saidas[Valores],Saidas[Fornecedor],P752,Saidas[Data da Competência],"&gt;="&amp;RESUMO!$C$4,Saidas[Data da Competência],"&lt;"&amp;RESUMO!$D$5,Saidas[Centro de Custos],X!$E$14,Saidas[Status],X!$E$13)</f>
        <v>0</v>
      </c>
    </row>
    <row r="753">
      <c r="M753" s="277"/>
      <c r="N753" s="105">
        <f>SUMIFS(Entradas[Valores],Entradas[Cliente],M753,Entradas[Data da Competência],"&gt;="&amp;RESUMO!$C$4,Entradas[Data da Competência],"&lt;"&amp;RESUMO!$D$5,Entradas[Centro de Custos],X!$E$14,Entradas[Status],X!$E$13)</f>
        <v>0</v>
      </c>
      <c r="P753" s="277"/>
      <c r="Q753" s="105">
        <f>SUMIFS(Saidas[Valores],Saidas[Fornecedor],P753,Saidas[Data da Competência],"&gt;="&amp;RESUMO!$C$4,Saidas[Data da Competência],"&lt;"&amp;RESUMO!$D$5,Saidas[Centro de Custos],X!$E$14,Saidas[Status],X!$E$13)</f>
        <v>0</v>
      </c>
    </row>
    <row r="754">
      <c r="M754" s="277"/>
      <c r="N754" s="105">
        <f>SUMIFS(Entradas[Valores],Entradas[Cliente],M754,Entradas[Data da Competência],"&gt;="&amp;RESUMO!$C$4,Entradas[Data da Competência],"&lt;"&amp;RESUMO!$D$5,Entradas[Centro de Custos],X!$E$14,Entradas[Status],X!$E$13)</f>
        <v>0</v>
      </c>
      <c r="P754" s="277"/>
      <c r="Q754" s="105">
        <f>SUMIFS(Saidas[Valores],Saidas[Fornecedor],P754,Saidas[Data da Competência],"&gt;="&amp;RESUMO!$C$4,Saidas[Data da Competência],"&lt;"&amp;RESUMO!$D$5,Saidas[Centro de Custos],X!$E$14,Saidas[Status],X!$E$13)</f>
        <v>0</v>
      </c>
    </row>
    <row r="755">
      <c r="M755" s="277"/>
      <c r="N755" s="105">
        <f>SUMIFS(Entradas[Valores],Entradas[Cliente],M755,Entradas[Data da Competência],"&gt;="&amp;RESUMO!$C$4,Entradas[Data da Competência],"&lt;"&amp;RESUMO!$D$5,Entradas[Centro de Custos],X!$E$14,Entradas[Status],X!$E$13)</f>
        <v>0</v>
      </c>
      <c r="P755" s="277"/>
      <c r="Q755" s="105">
        <f>SUMIFS(Saidas[Valores],Saidas[Fornecedor],P755,Saidas[Data da Competência],"&gt;="&amp;RESUMO!$C$4,Saidas[Data da Competência],"&lt;"&amp;RESUMO!$D$5,Saidas[Centro de Custos],X!$E$14,Saidas[Status],X!$E$13)</f>
        <v>0</v>
      </c>
    </row>
    <row r="756">
      <c r="M756" s="277"/>
      <c r="N756" s="105">
        <f>SUMIFS(Entradas[Valores],Entradas[Cliente],M756,Entradas[Data da Competência],"&gt;="&amp;RESUMO!$C$4,Entradas[Data da Competência],"&lt;"&amp;RESUMO!$D$5,Entradas[Centro de Custos],X!$E$14,Entradas[Status],X!$E$13)</f>
        <v>0</v>
      </c>
      <c r="P756" s="277"/>
      <c r="Q756" s="105">
        <f>SUMIFS(Saidas[Valores],Saidas[Fornecedor],P756,Saidas[Data da Competência],"&gt;="&amp;RESUMO!$C$4,Saidas[Data da Competência],"&lt;"&amp;RESUMO!$D$5,Saidas[Centro de Custos],X!$E$14,Saidas[Status],X!$E$13)</f>
        <v>0</v>
      </c>
    </row>
    <row r="757">
      <c r="M757" s="277"/>
      <c r="N757" s="105">
        <f>SUMIFS(Entradas[Valores],Entradas[Cliente],M757,Entradas[Data da Competência],"&gt;="&amp;RESUMO!$C$4,Entradas[Data da Competência],"&lt;"&amp;RESUMO!$D$5,Entradas[Centro de Custos],X!$E$14,Entradas[Status],X!$E$13)</f>
        <v>0</v>
      </c>
      <c r="P757" s="277"/>
      <c r="Q757" s="105">
        <f>SUMIFS(Saidas[Valores],Saidas[Fornecedor],P757,Saidas[Data da Competência],"&gt;="&amp;RESUMO!$C$4,Saidas[Data da Competência],"&lt;"&amp;RESUMO!$D$5,Saidas[Centro de Custos],X!$E$14,Saidas[Status],X!$E$13)</f>
        <v>0</v>
      </c>
    </row>
    <row r="758">
      <c r="M758" s="277"/>
      <c r="N758" s="105">
        <f>SUMIFS(Entradas[Valores],Entradas[Cliente],M758,Entradas[Data da Competência],"&gt;="&amp;RESUMO!$C$4,Entradas[Data da Competência],"&lt;"&amp;RESUMO!$D$5,Entradas[Centro de Custos],X!$E$14,Entradas[Status],X!$E$13)</f>
        <v>0</v>
      </c>
      <c r="P758" s="277"/>
      <c r="Q758" s="105">
        <f>SUMIFS(Saidas[Valores],Saidas[Fornecedor],P758,Saidas[Data da Competência],"&gt;="&amp;RESUMO!$C$4,Saidas[Data da Competência],"&lt;"&amp;RESUMO!$D$5,Saidas[Centro de Custos],X!$E$14,Saidas[Status],X!$E$13)</f>
        <v>0</v>
      </c>
    </row>
    <row r="759">
      <c r="M759" s="277"/>
      <c r="N759" s="105">
        <f>SUMIFS(Entradas[Valores],Entradas[Cliente],M759,Entradas[Data da Competência],"&gt;="&amp;RESUMO!$C$4,Entradas[Data da Competência],"&lt;"&amp;RESUMO!$D$5,Entradas[Centro de Custos],X!$E$14,Entradas[Status],X!$E$13)</f>
        <v>0</v>
      </c>
      <c r="P759" s="277"/>
      <c r="Q759" s="105">
        <f>SUMIFS(Saidas[Valores],Saidas[Fornecedor],P759,Saidas[Data da Competência],"&gt;="&amp;RESUMO!$C$4,Saidas[Data da Competência],"&lt;"&amp;RESUMO!$D$5,Saidas[Centro de Custos],X!$E$14,Saidas[Status],X!$E$13)</f>
        <v>0</v>
      </c>
    </row>
    <row r="760">
      <c r="M760" s="277"/>
      <c r="N760" s="105">
        <f>SUMIFS(Entradas[Valores],Entradas[Cliente],M760,Entradas[Data da Competência],"&gt;="&amp;RESUMO!$C$4,Entradas[Data da Competência],"&lt;"&amp;RESUMO!$D$5,Entradas[Centro de Custos],X!$E$14,Entradas[Status],X!$E$13)</f>
        <v>0</v>
      </c>
      <c r="P760" s="277"/>
      <c r="Q760" s="105">
        <f>SUMIFS(Saidas[Valores],Saidas[Fornecedor],P760,Saidas[Data da Competência],"&gt;="&amp;RESUMO!$C$4,Saidas[Data da Competência],"&lt;"&amp;RESUMO!$D$5,Saidas[Centro de Custos],X!$E$14,Saidas[Status],X!$E$13)</f>
        <v>0</v>
      </c>
    </row>
    <row r="761">
      <c r="M761" s="277"/>
      <c r="N761" s="105">
        <f>SUMIFS(Entradas[Valores],Entradas[Cliente],M761,Entradas[Data da Competência],"&gt;="&amp;RESUMO!$C$4,Entradas[Data da Competência],"&lt;"&amp;RESUMO!$D$5,Entradas[Centro de Custos],X!$E$14,Entradas[Status],X!$E$13)</f>
        <v>0</v>
      </c>
      <c r="P761" s="277"/>
      <c r="Q761" s="105">
        <f>SUMIFS(Saidas[Valores],Saidas[Fornecedor],P761,Saidas[Data da Competência],"&gt;="&amp;RESUMO!$C$4,Saidas[Data da Competência],"&lt;"&amp;RESUMO!$D$5,Saidas[Centro de Custos],X!$E$14,Saidas[Status],X!$E$13)</f>
        <v>0</v>
      </c>
    </row>
    <row r="762">
      <c r="M762" s="277"/>
      <c r="N762" s="105">
        <f>SUMIFS(Entradas[Valores],Entradas[Cliente],M762,Entradas[Data da Competência],"&gt;="&amp;RESUMO!$C$4,Entradas[Data da Competência],"&lt;"&amp;RESUMO!$D$5,Entradas[Centro de Custos],X!$E$14,Entradas[Status],X!$E$13)</f>
        <v>0</v>
      </c>
      <c r="P762" s="277"/>
      <c r="Q762" s="105">
        <f>SUMIFS(Saidas[Valores],Saidas[Fornecedor],P762,Saidas[Data da Competência],"&gt;="&amp;RESUMO!$C$4,Saidas[Data da Competência],"&lt;"&amp;RESUMO!$D$5,Saidas[Centro de Custos],X!$E$14,Saidas[Status],X!$E$13)</f>
        <v>0</v>
      </c>
    </row>
    <row r="763">
      <c r="M763" s="277"/>
      <c r="N763" s="105">
        <f>SUMIFS(Entradas[Valores],Entradas[Cliente],M763,Entradas[Data da Competência],"&gt;="&amp;RESUMO!$C$4,Entradas[Data da Competência],"&lt;"&amp;RESUMO!$D$5,Entradas[Centro de Custos],X!$E$14,Entradas[Status],X!$E$13)</f>
        <v>0</v>
      </c>
      <c r="P763" s="277"/>
      <c r="Q763" s="105">
        <f>SUMIFS(Saidas[Valores],Saidas[Fornecedor],P763,Saidas[Data da Competência],"&gt;="&amp;RESUMO!$C$4,Saidas[Data da Competência],"&lt;"&amp;RESUMO!$D$5,Saidas[Centro de Custos],X!$E$14,Saidas[Status],X!$E$13)</f>
        <v>0</v>
      </c>
    </row>
    <row r="764">
      <c r="M764" s="277"/>
      <c r="N764" s="105">
        <f>SUMIFS(Entradas[Valores],Entradas[Cliente],M764,Entradas[Data da Competência],"&gt;="&amp;RESUMO!$C$4,Entradas[Data da Competência],"&lt;"&amp;RESUMO!$D$5,Entradas[Centro de Custos],X!$E$14,Entradas[Status],X!$E$13)</f>
        <v>0</v>
      </c>
      <c r="P764" s="277"/>
      <c r="Q764" s="105">
        <f>SUMIFS(Saidas[Valores],Saidas[Fornecedor],P764,Saidas[Data da Competência],"&gt;="&amp;RESUMO!$C$4,Saidas[Data da Competência],"&lt;"&amp;RESUMO!$D$5,Saidas[Centro de Custos],X!$E$14,Saidas[Status],X!$E$13)</f>
        <v>0</v>
      </c>
    </row>
    <row r="765">
      <c r="M765" s="277"/>
      <c r="N765" s="105">
        <f>SUMIFS(Entradas[Valores],Entradas[Cliente],M765,Entradas[Data da Competência],"&gt;="&amp;RESUMO!$C$4,Entradas[Data da Competência],"&lt;"&amp;RESUMO!$D$5,Entradas[Centro de Custos],X!$E$14,Entradas[Status],X!$E$13)</f>
        <v>0</v>
      </c>
      <c r="P765" s="277"/>
      <c r="Q765" s="105">
        <f>SUMIFS(Saidas[Valores],Saidas[Fornecedor],P765,Saidas[Data da Competência],"&gt;="&amp;RESUMO!$C$4,Saidas[Data da Competência],"&lt;"&amp;RESUMO!$D$5,Saidas[Centro de Custos],X!$E$14,Saidas[Status],X!$E$13)</f>
        <v>0</v>
      </c>
    </row>
    <row r="766">
      <c r="M766" s="277"/>
      <c r="N766" s="105">
        <f>SUMIFS(Entradas[Valores],Entradas[Cliente],M766,Entradas[Data da Competência],"&gt;="&amp;RESUMO!$C$4,Entradas[Data da Competência],"&lt;"&amp;RESUMO!$D$5,Entradas[Centro de Custos],X!$E$14,Entradas[Status],X!$E$13)</f>
        <v>0</v>
      </c>
      <c r="P766" s="277"/>
      <c r="Q766" s="105">
        <f>SUMIFS(Saidas[Valores],Saidas[Fornecedor],P766,Saidas[Data da Competência],"&gt;="&amp;RESUMO!$C$4,Saidas[Data da Competência],"&lt;"&amp;RESUMO!$D$5,Saidas[Centro de Custos],X!$E$14,Saidas[Status],X!$E$13)</f>
        <v>0</v>
      </c>
    </row>
    <row r="767">
      <c r="M767" s="277"/>
      <c r="N767" s="105">
        <f>SUMIFS(Entradas[Valores],Entradas[Cliente],M767,Entradas[Data da Competência],"&gt;="&amp;RESUMO!$C$4,Entradas[Data da Competência],"&lt;"&amp;RESUMO!$D$5,Entradas[Centro de Custos],X!$E$14,Entradas[Status],X!$E$13)</f>
        <v>0</v>
      </c>
      <c r="P767" s="277"/>
      <c r="Q767" s="105">
        <f>SUMIFS(Saidas[Valores],Saidas[Fornecedor],P767,Saidas[Data da Competência],"&gt;="&amp;RESUMO!$C$4,Saidas[Data da Competência],"&lt;"&amp;RESUMO!$D$5,Saidas[Centro de Custos],X!$E$14,Saidas[Status],X!$E$13)</f>
        <v>0</v>
      </c>
    </row>
    <row r="768">
      <c r="M768" s="277"/>
      <c r="N768" s="105">
        <f>SUMIFS(Entradas[Valores],Entradas[Cliente],M768,Entradas[Data da Competência],"&gt;="&amp;RESUMO!$C$4,Entradas[Data da Competência],"&lt;"&amp;RESUMO!$D$5,Entradas[Centro de Custos],X!$E$14,Entradas[Status],X!$E$13)</f>
        <v>0</v>
      </c>
      <c r="P768" s="277"/>
      <c r="Q768" s="105">
        <f>SUMIFS(Saidas[Valores],Saidas[Fornecedor],P768,Saidas[Data da Competência],"&gt;="&amp;RESUMO!$C$4,Saidas[Data da Competência],"&lt;"&amp;RESUMO!$D$5,Saidas[Centro de Custos],X!$E$14,Saidas[Status],X!$E$13)</f>
        <v>0</v>
      </c>
    </row>
    <row r="769">
      <c r="M769" s="277"/>
      <c r="N769" s="105">
        <f>SUMIFS(Entradas[Valores],Entradas[Cliente],M769,Entradas[Data da Competência],"&gt;="&amp;RESUMO!$C$4,Entradas[Data da Competência],"&lt;"&amp;RESUMO!$D$5,Entradas[Centro de Custos],X!$E$14,Entradas[Status],X!$E$13)</f>
        <v>0</v>
      </c>
      <c r="P769" s="277"/>
      <c r="Q769" s="105">
        <f>SUMIFS(Saidas[Valores],Saidas[Fornecedor],P769,Saidas[Data da Competência],"&gt;="&amp;RESUMO!$C$4,Saidas[Data da Competência],"&lt;"&amp;RESUMO!$D$5,Saidas[Centro de Custos],X!$E$14,Saidas[Status],X!$E$13)</f>
        <v>0</v>
      </c>
    </row>
    <row r="770">
      <c r="M770" s="277"/>
      <c r="N770" s="105">
        <f>SUMIFS(Entradas[Valores],Entradas[Cliente],M770,Entradas[Data da Competência],"&gt;="&amp;RESUMO!$C$4,Entradas[Data da Competência],"&lt;"&amp;RESUMO!$D$5,Entradas[Centro de Custos],X!$E$14,Entradas[Status],X!$E$13)</f>
        <v>0</v>
      </c>
      <c r="P770" s="277"/>
      <c r="Q770" s="105">
        <f>SUMIFS(Saidas[Valores],Saidas[Fornecedor],P770,Saidas[Data da Competência],"&gt;="&amp;RESUMO!$C$4,Saidas[Data da Competência],"&lt;"&amp;RESUMO!$D$5,Saidas[Centro de Custos],X!$E$14,Saidas[Status],X!$E$13)</f>
        <v>0</v>
      </c>
    </row>
    <row r="771">
      <c r="M771" s="277"/>
      <c r="N771" s="105">
        <f>SUMIFS(Entradas[Valores],Entradas[Cliente],M771,Entradas[Data da Competência],"&gt;="&amp;RESUMO!$C$4,Entradas[Data da Competência],"&lt;"&amp;RESUMO!$D$5,Entradas[Centro de Custos],X!$E$14,Entradas[Status],X!$E$13)</f>
        <v>0</v>
      </c>
      <c r="P771" s="277"/>
      <c r="Q771" s="105">
        <f>SUMIFS(Saidas[Valores],Saidas[Fornecedor],P771,Saidas[Data da Competência],"&gt;="&amp;RESUMO!$C$4,Saidas[Data da Competência],"&lt;"&amp;RESUMO!$D$5,Saidas[Centro de Custos],X!$E$14,Saidas[Status],X!$E$13)</f>
        <v>0</v>
      </c>
    </row>
    <row r="772">
      <c r="M772" s="277"/>
      <c r="N772" s="105">
        <f>SUMIFS(Entradas[Valores],Entradas[Cliente],M772,Entradas[Data da Competência],"&gt;="&amp;RESUMO!$C$4,Entradas[Data da Competência],"&lt;"&amp;RESUMO!$D$5,Entradas[Centro de Custos],X!$E$14,Entradas[Status],X!$E$13)</f>
        <v>0</v>
      </c>
      <c r="P772" s="277"/>
      <c r="Q772" s="105">
        <f>SUMIFS(Saidas[Valores],Saidas[Fornecedor],P772,Saidas[Data da Competência],"&gt;="&amp;RESUMO!$C$4,Saidas[Data da Competência],"&lt;"&amp;RESUMO!$D$5,Saidas[Centro de Custos],X!$E$14,Saidas[Status],X!$E$13)</f>
        <v>0</v>
      </c>
    </row>
    <row r="773">
      <c r="M773" s="277"/>
      <c r="N773" s="105">
        <f>SUMIFS(Entradas[Valores],Entradas[Cliente],M773,Entradas[Data da Competência],"&gt;="&amp;RESUMO!$C$4,Entradas[Data da Competência],"&lt;"&amp;RESUMO!$D$5,Entradas[Centro de Custos],X!$E$14,Entradas[Status],X!$E$13)</f>
        <v>0</v>
      </c>
      <c r="P773" s="277"/>
      <c r="Q773" s="105">
        <f>SUMIFS(Saidas[Valores],Saidas[Fornecedor],P773,Saidas[Data da Competência],"&gt;="&amp;RESUMO!$C$4,Saidas[Data da Competência],"&lt;"&amp;RESUMO!$D$5,Saidas[Centro de Custos],X!$E$14,Saidas[Status],X!$E$13)</f>
        <v>0</v>
      </c>
    </row>
    <row r="774">
      <c r="M774" s="277"/>
      <c r="N774" s="105">
        <f>SUMIFS(Entradas[Valores],Entradas[Cliente],M774,Entradas[Data da Competência],"&gt;="&amp;RESUMO!$C$4,Entradas[Data da Competência],"&lt;"&amp;RESUMO!$D$5,Entradas[Centro de Custos],X!$E$14,Entradas[Status],X!$E$13)</f>
        <v>0</v>
      </c>
      <c r="P774" s="277"/>
      <c r="Q774" s="105">
        <f>SUMIFS(Saidas[Valores],Saidas[Fornecedor],P774,Saidas[Data da Competência],"&gt;="&amp;RESUMO!$C$4,Saidas[Data da Competência],"&lt;"&amp;RESUMO!$D$5,Saidas[Centro de Custos],X!$E$14,Saidas[Status],X!$E$13)</f>
        <v>0</v>
      </c>
    </row>
    <row r="775">
      <c r="M775" s="277"/>
      <c r="N775" s="105">
        <f>SUMIFS(Entradas[Valores],Entradas[Cliente],M775,Entradas[Data da Competência],"&gt;="&amp;RESUMO!$C$4,Entradas[Data da Competência],"&lt;"&amp;RESUMO!$D$5,Entradas[Centro de Custos],X!$E$14,Entradas[Status],X!$E$13)</f>
        <v>0</v>
      </c>
      <c r="P775" s="277"/>
      <c r="Q775" s="105">
        <f>SUMIFS(Saidas[Valores],Saidas[Fornecedor],P775,Saidas[Data da Competência],"&gt;="&amp;RESUMO!$C$4,Saidas[Data da Competência],"&lt;"&amp;RESUMO!$D$5,Saidas[Centro de Custos],X!$E$14,Saidas[Status],X!$E$13)</f>
        <v>0</v>
      </c>
    </row>
    <row r="776">
      <c r="M776" s="277"/>
      <c r="N776" s="105">
        <f>SUMIFS(Entradas[Valores],Entradas[Cliente],M776,Entradas[Data da Competência],"&gt;="&amp;RESUMO!$C$4,Entradas[Data da Competência],"&lt;"&amp;RESUMO!$D$5,Entradas[Centro de Custos],X!$E$14,Entradas[Status],X!$E$13)</f>
        <v>0</v>
      </c>
      <c r="P776" s="277"/>
      <c r="Q776" s="105">
        <f>SUMIFS(Saidas[Valores],Saidas[Fornecedor],P776,Saidas[Data da Competência],"&gt;="&amp;RESUMO!$C$4,Saidas[Data da Competência],"&lt;"&amp;RESUMO!$D$5,Saidas[Centro de Custos],X!$E$14,Saidas[Status],X!$E$13)</f>
        <v>0</v>
      </c>
    </row>
    <row r="777">
      <c r="M777" s="277"/>
      <c r="N777" s="105">
        <f>SUMIFS(Entradas[Valores],Entradas[Cliente],M777,Entradas[Data da Competência],"&gt;="&amp;RESUMO!$C$4,Entradas[Data da Competência],"&lt;"&amp;RESUMO!$D$5,Entradas[Centro de Custos],X!$E$14,Entradas[Status],X!$E$13)</f>
        <v>0</v>
      </c>
      <c r="P777" s="277"/>
      <c r="Q777" s="105">
        <f>SUMIFS(Saidas[Valores],Saidas[Fornecedor],P777,Saidas[Data da Competência],"&gt;="&amp;RESUMO!$C$4,Saidas[Data da Competência],"&lt;"&amp;RESUMO!$D$5,Saidas[Centro de Custos],X!$E$14,Saidas[Status],X!$E$13)</f>
        <v>0</v>
      </c>
    </row>
    <row r="778">
      <c r="M778" s="277"/>
      <c r="N778" s="105">
        <f>SUMIFS(Entradas[Valores],Entradas[Cliente],M778,Entradas[Data da Competência],"&gt;="&amp;RESUMO!$C$4,Entradas[Data da Competência],"&lt;"&amp;RESUMO!$D$5,Entradas[Centro de Custos],X!$E$14,Entradas[Status],X!$E$13)</f>
        <v>0</v>
      </c>
      <c r="P778" s="277"/>
      <c r="Q778" s="105">
        <f>SUMIFS(Saidas[Valores],Saidas[Fornecedor],P778,Saidas[Data da Competência],"&gt;="&amp;RESUMO!$C$4,Saidas[Data da Competência],"&lt;"&amp;RESUMO!$D$5,Saidas[Centro de Custos],X!$E$14,Saidas[Status],X!$E$13)</f>
        <v>0</v>
      </c>
    </row>
    <row r="779">
      <c r="M779" s="277"/>
      <c r="N779" s="105">
        <f>SUMIFS(Entradas[Valores],Entradas[Cliente],M779,Entradas[Data da Competência],"&gt;="&amp;RESUMO!$C$4,Entradas[Data da Competência],"&lt;"&amp;RESUMO!$D$5,Entradas[Centro de Custos],X!$E$14,Entradas[Status],X!$E$13)</f>
        <v>0</v>
      </c>
      <c r="P779" s="277"/>
      <c r="Q779" s="105">
        <f>SUMIFS(Saidas[Valores],Saidas[Fornecedor],P779,Saidas[Data da Competência],"&gt;="&amp;RESUMO!$C$4,Saidas[Data da Competência],"&lt;"&amp;RESUMO!$D$5,Saidas[Centro de Custos],X!$E$14,Saidas[Status],X!$E$13)</f>
        <v>0</v>
      </c>
    </row>
    <row r="780">
      <c r="M780" s="277"/>
      <c r="N780" s="105">
        <f>SUMIFS(Entradas[Valores],Entradas[Cliente],M780,Entradas[Data da Competência],"&gt;="&amp;RESUMO!$C$4,Entradas[Data da Competência],"&lt;"&amp;RESUMO!$D$5,Entradas[Centro de Custos],X!$E$14,Entradas[Status],X!$E$13)</f>
        <v>0</v>
      </c>
      <c r="P780" s="277"/>
      <c r="Q780" s="105">
        <f>SUMIFS(Saidas[Valores],Saidas[Fornecedor],P780,Saidas[Data da Competência],"&gt;="&amp;RESUMO!$C$4,Saidas[Data da Competência],"&lt;"&amp;RESUMO!$D$5,Saidas[Centro de Custos],X!$E$14,Saidas[Status],X!$E$13)</f>
        <v>0</v>
      </c>
    </row>
    <row r="781">
      <c r="M781" s="277"/>
      <c r="N781" s="105">
        <f>SUMIFS(Entradas[Valores],Entradas[Cliente],M781,Entradas[Data da Competência],"&gt;="&amp;RESUMO!$C$4,Entradas[Data da Competência],"&lt;"&amp;RESUMO!$D$5,Entradas[Centro de Custos],X!$E$14,Entradas[Status],X!$E$13)</f>
        <v>0</v>
      </c>
      <c r="P781" s="277"/>
      <c r="Q781" s="105">
        <f>SUMIFS(Saidas[Valores],Saidas[Fornecedor],P781,Saidas[Data da Competência],"&gt;="&amp;RESUMO!$C$4,Saidas[Data da Competência],"&lt;"&amp;RESUMO!$D$5,Saidas[Centro de Custos],X!$E$14,Saidas[Status],X!$E$13)</f>
        <v>0</v>
      </c>
    </row>
    <row r="782">
      <c r="M782" s="277"/>
      <c r="N782" s="105">
        <f>SUMIFS(Entradas[Valores],Entradas[Cliente],M782,Entradas[Data da Competência],"&gt;="&amp;RESUMO!$C$4,Entradas[Data da Competência],"&lt;"&amp;RESUMO!$D$5,Entradas[Centro de Custos],X!$E$14,Entradas[Status],X!$E$13)</f>
        <v>0</v>
      </c>
      <c r="P782" s="277"/>
      <c r="Q782" s="105">
        <f>SUMIFS(Saidas[Valores],Saidas[Fornecedor],P782,Saidas[Data da Competência],"&gt;="&amp;RESUMO!$C$4,Saidas[Data da Competência],"&lt;"&amp;RESUMO!$D$5,Saidas[Centro de Custos],X!$E$14,Saidas[Status],X!$E$13)</f>
        <v>0</v>
      </c>
    </row>
    <row r="783">
      <c r="M783" s="277"/>
      <c r="N783" s="105">
        <f>SUMIFS(Entradas[Valores],Entradas[Cliente],M783,Entradas[Data da Competência],"&gt;="&amp;RESUMO!$C$4,Entradas[Data da Competência],"&lt;"&amp;RESUMO!$D$5,Entradas[Centro de Custos],X!$E$14,Entradas[Status],X!$E$13)</f>
        <v>0</v>
      </c>
      <c r="P783" s="277"/>
      <c r="Q783" s="105">
        <f>SUMIFS(Saidas[Valores],Saidas[Fornecedor],P783,Saidas[Data da Competência],"&gt;="&amp;RESUMO!$C$4,Saidas[Data da Competência],"&lt;"&amp;RESUMO!$D$5,Saidas[Centro de Custos],X!$E$14,Saidas[Status],X!$E$13)</f>
        <v>0</v>
      </c>
    </row>
    <row r="784">
      <c r="M784" s="277"/>
      <c r="N784" s="105">
        <f>SUMIFS(Entradas[Valores],Entradas[Cliente],M784,Entradas[Data da Competência],"&gt;="&amp;RESUMO!$C$4,Entradas[Data da Competência],"&lt;"&amp;RESUMO!$D$5,Entradas[Centro de Custos],X!$E$14,Entradas[Status],X!$E$13)</f>
        <v>0</v>
      </c>
      <c r="P784" s="277"/>
      <c r="Q784" s="105">
        <f>SUMIFS(Saidas[Valores],Saidas[Fornecedor],P784,Saidas[Data da Competência],"&gt;="&amp;RESUMO!$C$4,Saidas[Data da Competência],"&lt;"&amp;RESUMO!$D$5,Saidas[Centro de Custos],X!$E$14,Saidas[Status],X!$E$13)</f>
        <v>0</v>
      </c>
    </row>
    <row r="785">
      <c r="M785" s="277"/>
      <c r="N785" s="105">
        <f>SUMIFS(Entradas[Valores],Entradas[Cliente],M785,Entradas[Data da Competência],"&gt;="&amp;RESUMO!$C$4,Entradas[Data da Competência],"&lt;"&amp;RESUMO!$D$5,Entradas[Centro de Custos],X!$E$14,Entradas[Status],X!$E$13)</f>
        <v>0</v>
      </c>
      <c r="P785" s="277"/>
      <c r="Q785" s="105">
        <f>SUMIFS(Saidas[Valores],Saidas[Fornecedor],P785,Saidas[Data da Competência],"&gt;="&amp;RESUMO!$C$4,Saidas[Data da Competência],"&lt;"&amp;RESUMO!$D$5,Saidas[Centro de Custos],X!$E$14,Saidas[Status],X!$E$13)</f>
        <v>0</v>
      </c>
    </row>
    <row r="786">
      <c r="M786" s="277"/>
      <c r="N786" s="105">
        <f>SUMIFS(Entradas[Valores],Entradas[Cliente],M786,Entradas[Data da Competência],"&gt;="&amp;RESUMO!$C$4,Entradas[Data da Competência],"&lt;"&amp;RESUMO!$D$5,Entradas[Centro de Custos],X!$E$14,Entradas[Status],X!$E$13)</f>
        <v>0</v>
      </c>
      <c r="P786" s="277"/>
      <c r="Q786" s="105">
        <f>SUMIFS(Saidas[Valores],Saidas[Fornecedor],P786,Saidas[Data da Competência],"&gt;="&amp;RESUMO!$C$4,Saidas[Data da Competência],"&lt;"&amp;RESUMO!$D$5,Saidas[Centro de Custos],X!$E$14,Saidas[Status],X!$E$13)</f>
        <v>0</v>
      </c>
    </row>
    <row r="787">
      <c r="M787" s="277"/>
      <c r="N787" s="105">
        <f>SUMIFS(Entradas[Valores],Entradas[Cliente],M787,Entradas[Data da Competência],"&gt;="&amp;RESUMO!$C$4,Entradas[Data da Competência],"&lt;"&amp;RESUMO!$D$5,Entradas[Centro de Custos],X!$E$14,Entradas[Status],X!$E$13)</f>
        <v>0</v>
      </c>
      <c r="P787" s="277"/>
      <c r="Q787" s="105">
        <f>SUMIFS(Saidas[Valores],Saidas[Fornecedor],P787,Saidas[Data da Competência],"&gt;="&amp;RESUMO!$C$4,Saidas[Data da Competência],"&lt;"&amp;RESUMO!$D$5,Saidas[Centro de Custos],X!$E$14,Saidas[Status],X!$E$13)</f>
        <v>0</v>
      </c>
    </row>
    <row r="788">
      <c r="M788" s="277"/>
      <c r="N788" s="105">
        <f>SUMIFS(Entradas[Valores],Entradas[Cliente],M788,Entradas[Data da Competência],"&gt;="&amp;RESUMO!$C$4,Entradas[Data da Competência],"&lt;"&amp;RESUMO!$D$5,Entradas[Centro de Custos],X!$E$14,Entradas[Status],X!$E$13)</f>
        <v>0</v>
      </c>
      <c r="P788" s="277"/>
      <c r="Q788" s="105">
        <f>SUMIFS(Saidas[Valores],Saidas[Fornecedor],P788,Saidas[Data da Competência],"&gt;="&amp;RESUMO!$C$4,Saidas[Data da Competência],"&lt;"&amp;RESUMO!$D$5,Saidas[Centro de Custos],X!$E$14,Saidas[Status],X!$E$13)</f>
        <v>0</v>
      </c>
    </row>
    <row r="789">
      <c r="M789" s="277"/>
      <c r="N789" s="105">
        <f>SUMIFS(Entradas[Valores],Entradas[Cliente],M789,Entradas[Data da Competência],"&gt;="&amp;RESUMO!$C$4,Entradas[Data da Competência],"&lt;"&amp;RESUMO!$D$5,Entradas[Centro de Custos],X!$E$14,Entradas[Status],X!$E$13)</f>
        <v>0</v>
      </c>
      <c r="P789" s="277"/>
      <c r="Q789" s="105">
        <f>SUMIFS(Saidas[Valores],Saidas[Fornecedor],P789,Saidas[Data da Competência],"&gt;="&amp;RESUMO!$C$4,Saidas[Data da Competência],"&lt;"&amp;RESUMO!$D$5,Saidas[Centro de Custos],X!$E$14,Saidas[Status],X!$E$13)</f>
        <v>0</v>
      </c>
    </row>
    <row r="790">
      <c r="M790" s="277"/>
      <c r="N790" s="105">
        <f>SUMIFS(Entradas[Valores],Entradas[Cliente],M790,Entradas[Data da Competência],"&gt;="&amp;RESUMO!$C$4,Entradas[Data da Competência],"&lt;"&amp;RESUMO!$D$5,Entradas[Centro de Custos],X!$E$14,Entradas[Status],X!$E$13)</f>
        <v>0</v>
      </c>
      <c r="P790" s="277"/>
      <c r="Q790" s="105">
        <f>SUMIFS(Saidas[Valores],Saidas[Fornecedor],P790,Saidas[Data da Competência],"&gt;="&amp;RESUMO!$C$4,Saidas[Data da Competência],"&lt;"&amp;RESUMO!$D$5,Saidas[Centro de Custos],X!$E$14,Saidas[Status],X!$E$13)</f>
        <v>0</v>
      </c>
    </row>
    <row r="791">
      <c r="M791" s="277"/>
      <c r="N791" s="105">
        <f>SUMIFS(Entradas[Valores],Entradas[Cliente],M791,Entradas[Data da Competência],"&gt;="&amp;RESUMO!$C$4,Entradas[Data da Competência],"&lt;"&amp;RESUMO!$D$5,Entradas[Centro de Custos],X!$E$14,Entradas[Status],X!$E$13)</f>
        <v>0</v>
      </c>
      <c r="P791" s="277"/>
      <c r="Q791" s="105">
        <f>SUMIFS(Saidas[Valores],Saidas[Fornecedor],P791,Saidas[Data da Competência],"&gt;="&amp;RESUMO!$C$4,Saidas[Data da Competência],"&lt;"&amp;RESUMO!$D$5,Saidas[Centro de Custos],X!$E$14,Saidas[Status],X!$E$13)</f>
        <v>0</v>
      </c>
    </row>
    <row r="792">
      <c r="M792" s="277"/>
      <c r="N792" s="105">
        <f>SUMIFS(Entradas[Valores],Entradas[Cliente],M792,Entradas[Data da Competência],"&gt;="&amp;RESUMO!$C$4,Entradas[Data da Competência],"&lt;"&amp;RESUMO!$D$5,Entradas[Centro de Custos],X!$E$14,Entradas[Status],X!$E$13)</f>
        <v>0</v>
      </c>
      <c r="P792" s="277"/>
      <c r="Q792" s="105">
        <f>SUMIFS(Saidas[Valores],Saidas[Fornecedor],P792,Saidas[Data da Competência],"&gt;="&amp;RESUMO!$C$4,Saidas[Data da Competência],"&lt;"&amp;RESUMO!$D$5,Saidas[Centro de Custos],X!$E$14,Saidas[Status],X!$E$13)</f>
        <v>0</v>
      </c>
    </row>
    <row r="793">
      <c r="M793" s="277"/>
      <c r="N793" s="105">
        <f>SUMIFS(Entradas[Valores],Entradas[Cliente],M793,Entradas[Data da Competência],"&gt;="&amp;RESUMO!$C$4,Entradas[Data da Competência],"&lt;"&amp;RESUMO!$D$5,Entradas[Centro de Custos],X!$E$14,Entradas[Status],X!$E$13)</f>
        <v>0</v>
      </c>
      <c r="P793" s="277"/>
      <c r="Q793" s="105">
        <f>SUMIFS(Saidas[Valores],Saidas[Fornecedor],P793,Saidas[Data da Competência],"&gt;="&amp;RESUMO!$C$4,Saidas[Data da Competência],"&lt;"&amp;RESUMO!$D$5,Saidas[Centro de Custos],X!$E$14,Saidas[Status],X!$E$13)</f>
        <v>0</v>
      </c>
    </row>
    <row r="794">
      <c r="M794" s="277"/>
      <c r="N794" s="105">
        <f>SUMIFS(Entradas[Valores],Entradas[Cliente],M794,Entradas[Data da Competência],"&gt;="&amp;RESUMO!$C$4,Entradas[Data da Competência],"&lt;"&amp;RESUMO!$D$5,Entradas[Centro de Custos],X!$E$14,Entradas[Status],X!$E$13)</f>
        <v>0</v>
      </c>
      <c r="P794" s="277"/>
      <c r="Q794" s="105">
        <f>SUMIFS(Saidas[Valores],Saidas[Fornecedor],P794,Saidas[Data da Competência],"&gt;="&amp;RESUMO!$C$4,Saidas[Data da Competência],"&lt;"&amp;RESUMO!$D$5,Saidas[Centro de Custos],X!$E$14,Saidas[Status],X!$E$13)</f>
        <v>0</v>
      </c>
    </row>
    <row r="795">
      <c r="M795" s="277"/>
      <c r="N795" s="105">
        <f>SUMIFS(Entradas[Valores],Entradas[Cliente],M795,Entradas[Data da Competência],"&gt;="&amp;RESUMO!$C$4,Entradas[Data da Competência],"&lt;"&amp;RESUMO!$D$5,Entradas[Centro de Custos],X!$E$14,Entradas[Status],X!$E$13)</f>
        <v>0</v>
      </c>
      <c r="P795" s="277"/>
      <c r="Q795" s="105">
        <f>SUMIFS(Saidas[Valores],Saidas[Fornecedor],P795,Saidas[Data da Competência],"&gt;="&amp;RESUMO!$C$4,Saidas[Data da Competência],"&lt;"&amp;RESUMO!$D$5,Saidas[Centro de Custos],X!$E$14,Saidas[Status],X!$E$13)</f>
        <v>0</v>
      </c>
    </row>
    <row r="796">
      <c r="M796" s="277"/>
      <c r="N796" s="105">
        <f>SUMIFS(Entradas[Valores],Entradas[Cliente],M796,Entradas[Data da Competência],"&gt;="&amp;RESUMO!$C$4,Entradas[Data da Competência],"&lt;"&amp;RESUMO!$D$5,Entradas[Centro de Custos],X!$E$14,Entradas[Status],X!$E$13)</f>
        <v>0</v>
      </c>
      <c r="P796" s="277"/>
      <c r="Q796" s="105">
        <f>SUMIFS(Saidas[Valores],Saidas[Fornecedor],P796,Saidas[Data da Competência],"&gt;="&amp;RESUMO!$C$4,Saidas[Data da Competência],"&lt;"&amp;RESUMO!$D$5,Saidas[Centro de Custos],X!$E$14,Saidas[Status],X!$E$13)</f>
        <v>0</v>
      </c>
    </row>
    <row r="797">
      <c r="M797" s="277"/>
      <c r="N797" s="105">
        <f>SUMIFS(Entradas[Valores],Entradas[Cliente],M797,Entradas[Data da Competência],"&gt;="&amp;RESUMO!$C$4,Entradas[Data da Competência],"&lt;"&amp;RESUMO!$D$5,Entradas[Centro de Custos],X!$E$14,Entradas[Status],X!$E$13)</f>
        <v>0</v>
      </c>
      <c r="P797" s="277"/>
      <c r="Q797" s="105">
        <f>SUMIFS(Saidas[Valores],Saidas[Fornecedor],P797,Saidas[Data da Competência],"&gt;="&amp;RESUMO!$C$4,Saidas[Data da Competência],"&lt;"&amp;RESUMO!$D$5,Saidas[Centro de Custos],X!$E$14,Saidas[Status],X!$E$13)</f>
        <v>0</v>
      </c>
    </row>
    <row r="798">
      <c r="M798" s="277"/>
      <c r="N798" s="105">
        <f>SUMIFS(Entradas[Valores],Entradas[Cliente],M798,Entradas[Data da Competência],"&gt;="&amp;RESUMO!$C$4,Entradas[Data da Competência],"&lt;"&amp;RESUMO!$D$5,Entradas[Centro de Custos],X!$E$14,Entradas[Status],X!$E$13)</f>
        <v>0</v>
      </c>
      <c r="P798" s="277"/>
      <c r="Q798" s="105">
        <f>SUMIFS(Saidas[Valores],Saidas[Fornecedor],P798,Saidas[Data da Competência],"&gt;="&amp;RESUMO!$C$4,Saidas[Data da Competência],"&lt;"&amp;RESUMO!$D$5,Saidas[Centro de Custos],X!$E$14,Saidas[Status],X!$E$13)</f>
        <v>0</v>
      </c>
    </row>
    <row r="799">
      <c r="M799" s="277"/>
      <c r="N799" s="105">
        <f>SUMIFS(Entradas[Valores],Entradas[Cliente],M799,Entradas[Data da Competência],"&gt;="&amp;RESUMO!$C$4,Entradas[Data da Competência],"&lt;"&amp;RESUMO!$D$5,Entradas[Centro de Custos],X!$E$14,Entradas[Status],X!$E$13)</f>
        <v>0</v>
      </c>
      <c r="P799" s="277"/>
      <c r="Q799" s="105">
        <f>SUMIFS(Saidas[Valores],Saidas[Fornecedor],P799,Saidas[Data da Competência],"&gt;="&amp;RESUMO!$C$4,Saidas[Data da Competência],"&lt;"&amp;RESUMO!$D$5,Saidas[Centro de Custos],X!$E$14,Saidas[Status],X!$E$13)</f>
        <v>0</v>
      </c>
    </row>
    <row r="800">
      <c r="M800" s="277"/>
      <c r="N800" s="105">
        <f>SUMIFS(Entradas[Valores],Entradas[Cliente],M800,Entradas[Data da Competência],"&gt;="&amp;RESUMO!$C$4,Entradas[Data da Competência],"&lt;"&amp;RESUMO!$D$5,Entradas[Centro de Custos],X!$E$14,Entradas[Status],X!$E$13)</f>
        <v>0</v>
      </c>
      <c r="P800" s="277"/>
      <c r="Q800" s="105">
        <f>SUMIFS(Saidas[Valores],Saidas[Fornecedor],P800,Saidas[Data da Competência],"&gt;="&amp;RESUMO!$C$4,Saidas[Data da Competência],"&lt;"&amp;RESUMO!$D$5,Saidas[Centro de Custos],X!$E$14,Saidas[Status],X!$E$13)</f>
        <v>0</v>
      </c>
    </row>
    <row r="801">
      <c r="M801" s="277"/>
      <c r="N801" s="105">
        <f>SUMIFS(Entradas[Valores],Entradas[Cliente],M801,Entradas[Data da Competência],"&gt;="&amp;RESUMO!$C$4,Entradas[Data da Competência],"&lt;"&amp;RESUMO!$D$5,Entradas[Centro de Custos],X!$E$14,Entradas[Status],X!$E$13)</f>
        <v>0</v>
      </c>
      <c r="P801" s="277"/>
      <c r="Q801" s="105">
        <f>SUMIFS(Saidas[Valores],Saidas[Fornecedor],P801,Saidas[Data da Competência],"&gt;="&amp;RESUMO!$C$4,Saidas[Data da Competência],"&lt;"&amp;RESUMO!$D$5,Saidas[Centro de Custos],X!$E$14,Saidas[Status],X!$E$13)</f>
        <v>0</v>
      </c>
    </row>
    <row r="802">
      <c r="M802" s="277"/>
      <c r="N802" s="105">
        <f>SUMIFS(Entradas[Valores],Entradas[Cliente],M802,Entradas[Data da Competência],"&gt;="&amp;RESUMO!$C$4,Entradas[Data da Competência],"&lt;"&amp;RESUMO!$D$5,Entradas[Centro de Custos],X!$E$14,Entradas[Status],X!$E$13)</f>
        <v>0</v>
      </c>
      <c r="P802" s="277"/>
      <c r="Q802" s="105">
        <f>SUMIFS(Saidas[Valores],Saidas[Fornecedor],P802,Saidas[Data da Competência],"&gt;="&amp;RESUMO!$C$4,Saidas[Data da Competência],"&lt;"&amp;RESUMO!$D$5,Saidas[Centro de Custos],X!$E$14,Saidas[Status],X!$E$13)</f>
        <v>0</v>
      </c>
    </row>
    <row r="803">
      <c r="M803" s="277"/>
      <c r="N803" s="105">
        <f>SUMIFS(Entradas[Valores],Entradas[Cliente],M803,Entradas[Data da Competência],"&gt;="&amp;RESUMO!$C$4,Entradas[Data da Competência],"&lt;"&amp;RESUMO!$D$5,Entradas[Centro de Custos],X!$E$14,Entradas[Status],X!$E$13)</f>
        <v>0</v>
      </c>
      <c r="P803" s="277"/>
      <c r="Q803" s="105">
        <f>SUMIFS(Saidas[Valores],Saidas[Fornecedor],P803,Saidas[Data da Competência],"&gt;="&amp;RESUMO!$C$4,Saidas[Data da Competência],"&lt;"&amp;RESUMO!$D$5,Saidas[Centro de Custos],X!$E$14,Saidas[Status],X!$E$13)</f>
        <v>0</v>
      </c>
    </row>
    <row r="804">
      <c r="M804" s="277"/>
      <c r="N804" s="105">
        <f>SUMIFS(Entradas[Valores],Entradas[Cliente],M804,Entradas[Data da Competência],"&gt;="&amp;RESUMO!$C$4,Entradas[Data da Competência],"&lt;"&amp;RESUMO!$D$5,Entradas[Centro de Custos],X!$E$14,Entradas[Status],X!$E$13)</f>
        <v>0</v>
      </c>
      <c r="P804" s="277"/>
      <c r="Q804" s="105">
        <f>SUMIFS(Saidas[Valores],Saidas[Fornecedor],P804,Saidas[Data da Competência],"&gt;="&amp;RESUMO!$C$4,Saidas[Data da Competência],"&lt;"&amp;RESUMO!$D$5,Saidas[Centro de Custos],X!$E$14,Saidas[Status],X!$E$13)</f>
        <v>0</v>
      </c>
    </row>
    <row r="805">
      <c r="M805" s="277"/>
      <c r="N805" s="105">
        <f>SUMIFS(Entradas[Valores],Entradas[Cliente],M805,Entradas[Data da Competência],"&gt;="&amp;RESUMO!$C$4,Entradas[Data da Competência],"&lt;"&amp;RESUMO!$D$5,Entradas[Centro de Custos],X!$E$14,Entradas[Status],X!$E$13)</f>
        <v>0</v>
      </c>
      <c r="P805" s="277"/>
      <c r="Q805" s="105">
        <f>SUMIFS(Saidas[Valores],Saidas[Fornecedor],P805,Saidas[Data da Competência],"&gt;="&amp;RESUMO!$C$4,Saidas[Data da Competência],"&lt;"&amp;RESUMO!$D$5,Saidas[Centro de Custos],X!$E$14,Saidas[Status],X!$E$13)</f>
        <v>0</v>
      </c>
    </row>
    <row r="806">
      <c r="M806" s="277"/>
      <c r="N806" s="105">
        <f>SUMIFS(Entradas[Valores],Entradas[Cliente],M806,Entradas[Data da Competência],"&gt;="&amp;RESUMO!$C$4,Entradas[Data da Competência],"&lt;"&amp;RESUMO!$D$5,Entradas[Centro de Custos],X!$E$14,Entradas[Status],X!$E$13)</f>
        <v>0</v>
      </c>
      <c r="P806" s="277"/>
      <c r="Q806" s="105">
        <f>SUMIFS(Saidas[Valores],Saidas[Fornecedor],P806,Saidas[Data da Competência],"&gt;="&amp;RESUMO!$C$4,Saidas[Data da Competência],"&lt;"&amp;RESUMO!$D$5,Saidas[Centro de Custos],X!$E$14,Saidas[Status],X!$E$13)</f>
        <v>0</v>
      </c>
    </row>
    <row r="807">
      <c r="M807" s="277"/>
      <c r="N807" s="105">
        <f>SUMIFS(Entradas[Valores],Entradas[Cliente],M807,Entradas[Data da Competência],"&gt;="&amp;RESUMO!$C$4,Entradas[Data da Competência],"&lt;"&amp;RESUMO!$D$5,Entradas[Centro de Custos],X!$E$14,Entradas[Status],X!$E$13)</f>
        <v>0</v>
      </c>
      <c r="P807" s="277"/>
      <c r="Q807" s="105">
        <f>SUMIFS(Saidas[Valores],Saidas[Fornecedor],P807,Saidas[Data da Competência],"&gt;="&amp;RESUMO!$C$4,Saidas[Data da Competência],"&lt;"&amp;RESUMO!$D$5,Saidas[Centro de Custos],X!$E$14,Saidas[Status],X!$E$13)</f>
        <v>0</v>
      </c>
    </row>
    <row r="808">
      <c r="M808" s="277"/>
      <c r="N808" s="105">
        <f>SUMIFS(Entradas[Valores],Entradas[Cliente],M808,Entradas[Data da Competência],"&gt;="&amp;RESUMO!$C$4,Entradas[Data da Competência],"&lt;"&amp;RESUMO!$D$5,Entradas[Centro de Custos],X!$E$14,Entradas[Status],X!$E$13)</f>
        <v>0</v>
      </c>
      <c r="P808" s="277"/>
      <c r="Q808" s="105">
        <f>SUMIFS(Saidas[Valores],Saidas[Fornecedor],P808,Saidas[Data da Competência],"&gt;="&amp;RESUMO!$C$4,Saidas[Data da Competência],"&lt;"&amp;RESUMO!$D$5,Saidas[Centro de Custos],X!$E$14,Saidas[Status],X!$E$13)</f>
        <v>0</v>
      </c>
    </row>
    <row r="809">
      <c r="M809" s="277"/>
      <c r="N809" s="105">
        <f>SUMIFS(Entradas[Valores],Entradas[Cliente],M809,Entradas[Data da Competência],"&gt;="&amp;RESUMO!$C$4,Entradas[Data da Competência],"&lt;"&amp;RESUMO!$D$5,Entradas[Centro de Custos],X!$E$14,Entradas[Status],X!$E$13)</f>
        <v>0</v>
      </c>
      <c r="P809" s="277"/>
      <c r="Q809" s="105">
        <f>SUMIFS(Saidas[Valores],Saidas[Fornecedor],P809,Saidas[Data da Competência],"&gt;="&amp;RESUMO!$C$4,Saidas[Data da Competência],"&lt;"&amp;RESUMO!$D$5,Saidas[Centro de Custos],X!$E$14,Saidas[Status],X!$E$13)</f>
        <v>0</v>
      </c>
    </row>
    <row r="810">
      <c r="M810" s="277"/>
      <c r="N810" s="105">
        <f>SUMIFS(Entradas[Valores],Entradas[Cliente],M810,Entradas[Data da Competência],"&gt;="&amp;RESUMO!$C$4,Entradas[Data da Competência],"&lt;"&amp;RESUMO!$D$5,Entradas[Centro de Custos],X!$E$14,Entradas[Status],X!$E$13)</f>
        <v>0</v>
      </c>
      <c r="P810" s="277"/>
      <c r="Q810" s="105">
        <f>SUMIFS(Saidas[Valores],Saidas[Fornecedor],P810,Saidas[Data da Competência],"&gt;="&amp;RESUMO!$C$4,Saidas[Data da Competência],"&lt;"&amp;RESUMO!$D$5,Saidas[Centro de Custos],X!$E$14,Saidas[Status],X!$E$13)</f>
        <v>0</v>
      </c>
    </row>
    <row r="811">
      <c r="M811" s="277"/>
      <c r="N811" s="105">
        <f>SUMIFS(Entradas[Valores],Entradas[Cliente],M811,Entradas[Data da Competência],"&gt;="&amp;RESUMO!$C$4,Entradas[Data da Competência],"&lt;"&amp;RESUMO!$D$5,Entradas[Centro de Custos],X!$E$14,Entradas[Status],X!$E$13)</f>
        <v>0</v>
      </c>
      <c r="P811" s="277"/>
      <c r="Q811" s="105">
        <f>SUMIFS(Saidas[Valores],Saidas[Fornecedor],P811,Saidas[Data da Competência],"&gt;="&amp;RESUMO!$C$4,Saidas[Data da Competência],"&lt;"&amp;RESUMO!$D$5,Saidas[Centro de Custos],X!$E$14,Saidas[Status],X!$E$13)</f>
        <v>0</v>
      </c>
    </row>
    <row r="812">
      <c r="M812" s="277"/>
      <c r="N812" s="105">
        <f>SUMIFS(Entradas[Valores],Entradas[Cliente],M812,Entradas[Data da Competência],"&gt;="&amp;RESUMO!$C$4,Entradas[Data da Competência],"&lt;"&amp;RESUMO!$D$5,Entradas[Centro de Custos],X!$E$14,Entradas[Status],X!$E$13)</f>
        <v>0</v>
      </c>
      <c r="P812" s="277"/>
      <c r="Q812" s="105">
        <f>SUMIFS(Saidas[Valores],Saidas[Fornecedor],P812,Saidas[Data da Competência],"&gt;="&amp;RESUMO!$C$4,Saidas[Data da Competência],"&lt;"&amp;RESUMO!$D$5,Saidas[Centro de Custos],X!$E$14,Saidas[Status],X!$E$13)</f>
        <v>0</v>
      </c>
    </row>
    <row r="813">
      <c r="M813" s="277"/>
      <c r="N813" s="105">
        <f>SUMIFS(Entradas[Valores],Entradas[Cliente],M813,Entradas[Data da Competência],"&gt;="&amp;RESUMO!$C$4,Entradas[Data da Competência],"&lt;"&amp;RESUMO!$D$5,Entradas[Centro de Custos],X!$E$14,Entradas[Status],X!$E$13)</f>
        <v>0</v>
      </c>
      <c r="P813" s="277"/>
      <c r="Q813" s="105">
        <f>SUMIFS(Saidas[Valores],Saidas[Fornecedor],P813,Saidas[Data da Competência],"&gt;="&amp;RESUMO!$C$4,Saidas[Data da Competência],"&lt;"&amp;RESUMO!$D$5,Saidas[Centro de Custos],X!$E$14,Saidas[Status],X!$E$13)</f>
        <v>0</v>
      </c>
    </row>
    <row r="814">
      <c r="M814" s="277"/>
      <c r="N814" s="105">
        <f>SUMIFS(Entradas[Valores],Entradas[Cliente],M814,Entradas[Data da Competência],"&gt;="&amp;RESUMO!$C$4,Entradas[Data da Competência],"&lt;"&amp;RESUMO!$D$5,Entradas[Centro de Custos],X!$E$14,Entradas[Status],X!$E$13)</f>
        <v>0</v>
      </c>
      <c r="P814" s="277"/>
      <c r="Q814" s="105">
        <f>SUMIFS(Saidas[Valores],Saidas[Fornecedor],P814,Saidas[Data da Competência],"&gt;="&amp;RESUMO!$C$4,Saidas[Data da Competência],"&lt;"&amp;RESUMO!$D$5,Saidas[Centro de Custos],X!$E$14,Saidas[Status],X!$E$13)</f>
        <v>0</v>
      </c>
    </row>
    <row r="815">
      <c r="M815" s="277"/>
      <c r="N815" s="105">
        <f>SUMIFS(Entradas[Valores],Entradas[Cliente],M815,Entradas[Data da Competência],"&gt;="&amp;RESUMO!$C$4,Entradas[Data da Competência],"&lt;"&amp;RESUMO!$D$5,Entradas[Centro de Custos],X!$E$14,Entradas[Status],X!$E$13)</f>
        <v>0</v>
      </c>
      <c r="P815" s="277"/>
      <c r="Q815" s="105">
        <f>SUMIFS(Saidas[Valores],Saidas[Fornecedor],P815,Saidas[Data da Competência],"&gt;="&amp;RESUMO!$C$4,Saidas[Data da Competência],"&lt;"&amp;RESUMO!$D$5,Saidas[Centro de Custos],X!$E$14,Saidas[Status],X!$E$13)</f>
        <v>0</v>
      </c>
    </row>
    <row r="816">
      <c r="M816" s="277"/>
      <c r="N816" s="105">
        <f>SUMIFS(Entradas[Valores],Entradas[Cliente],M816,Entradas[Data da Competência],"&gt;="&amp;RESUMO!$C$4,Entradas[Data da Competência],"&lt;"&amp;RESUMO!$D$5,Entradas[Centro de Custos],X!$E$14,Entradas[Status],X!$E$13)</f>
        <v>0</v>
      </c>
      <c r="P816" s="277"/>
      <c r="Q816" s="105">
        <f>SUMIFS(Saidas[Valores],Saidas[Fornecedor],P816,Saidas[Data da Competência],"&gt;="&amp;RESUMO!$C$4,Saidas[Data da Competência],"&lt;"&amp;RESUMO!$D$5,Saidas[Centro de Custos],X!$E$14,Saidas[Status],X!$E$13)</f>
        <v>0</v>
      </c>
    </row>
    <row r="817">
      <c r="M817" s="277"/>
      <c r="N817" s="105">
        <f>SUMIFS(Entradas[Valores],Entradas[Cliente],M817,Entradas[Data da Competência],"&gt;="&amp;RESUMO!$C$4,Entradas[Data da Competência],"&lt;"&amp;RESUMO!$D$5,Entradas[Centro de Custos],X!$E$14,Entradas[Status],X!$E$13)</f>
        <v>0</v>
      </c>
      <c r="P817" s="277"/>
      <c r="Q817" s="105">
        <f>SUMIFS(Saidas[Valores],Saidas[Fornecedor],P817,Saidas[Data da Competência],"&gt;="&amp;RESUMO!$C$4,Saidas[Data da Competência],"&lt;"&amp;RESUMO!$D$5,Saidas[Centro de Custos],X!$E$14,Saidas[Status],X!$E$13)</f>
        <v>0</v>
      </c>
    </row>
    <row r="818">
      <c r="M818" s="277"/>
      <c r="N818" s="105">
        <f>SUMIFS(Entradas[Valores],Entradas[Cliente],M818,Entradas[Data da Competência],"&gt;="&amp;RESUMO!$C$4,Entradas[Data da Competência],"&lt;"&amp;RESUMO!$D$5,Entradas[Centro de Custos],X!$E$14,Entradas[Status],X!$E$13)</f>
        <v>0</v>
      </c>
      <c r="P818" s="277"/>
      <c r="Q818" s="105">
        <f>SUMIFS(Saidas[Valores],Saidas[Fornecedor],P818,Saidas[Data da Competência],"&gt;="&amp;RESUMO!$C$4,Saidas[Data da Competência],"&lt;"&amp;RESUMO!$D$5,Saidas[Centro de Custos],X!$E$14,Saidas[Status],X!$E$13)</f>
        <v>0</v>
      </c>
    </row>
    <row r="819">
      <c r="M819" s="277"/>
      <c r="N819" s="105">
        <f>SUMIFS(Entradas[Valores],Entradas[Cliente],M819,Entradas[Data da Competência],"&gt;="&amp;RESUMO!$C$4,Entradas[Data da Competência],"&lt;"&amp;RESUMO!$D$5,Entradas[Centro de Custos],X!$E$14,Entradas[Status],X!$E$13)</f>
        <v>0</v>
      </c>
      <c r="P819" s="277"/>
      <c r="Q819" s="105">
        <f>SUMIFS(Saidas[Valores],Saidas[Fornecedor],P819,Saidas[Data da Competência],"&gt;="&amp;RESUMO!$C$4,Saidas[Data da Competência],"&lt;"&amp;RESUMO!$D$5,Saidas[Centro de Custos],X!$E$14,Saidas[Status],X!$E$13)</f>
        <v>0</v>
      </c>
    </row>
    <row r="820">
      <c r="M820" s="277"/>
      <c r="N820" s="105">
        <f>SUMIFS(Entradas[Valores],Entradas[Cliente],M820,Entradas[Data da Competência],"&gt;="&amp;RESUMO!$C$4,Entradas[Data da Competência],"&lt;"&amp;RESUMO!$D$5,Entradas[Centro de Custos],X!$E$14,Entradas[Status],X!$E$13)</f>
        <v>0</v>
      </c>
      <c r="P820" s="277"/>
      <c r="Q820" s="105">
        <f>SUMIFS(Saidas[Valores],Saidas[Fornecedor],P820,Saidas[Data da Competência],"&gt;="&amp;RESUMO!$C$4,Saidas[Data da Competência],"&lt;"&amp;RESUMO!$D$5,Saidas[Centro de Custos],X!$E$14,Saidas[Status],X!$E$13)</f>
        <v>0</v>
      </c>
    </row>
    <row r="821">
      <c r="M821" s="277"/>
      <c r="N821" s="105">
        <f>SUMIFS(Entradas[Valores],Entradas[Cliente],M821,Entradas[Data da Competência],"&gt;="&amp;RESUMO!$C$4,Entradas[Data da Competência],"&lt;"&amp;RESUMO!$D$5,Entradas[Centro de Custos],X!$E$14,Entradas[Status],X!$E$13)</f>
        <v>0</v>
      </c>
      <c r="P821" s="277"/>
      <c r="Q821" s="105">
        <f>SUMIFS(Saidas[Valores],Saidas[Fornecedor],P821,Saidas[Data da Competência],"&gt;="&amp;RESUMO!$C$4,Saidas[Data da Competência],"&lt;"&amp;RESUMO!$D$5,Saidas[Centro de Custos],X!$E$14,Saidas[Status],X!$E$13)</f>
        <v>0</v>
      </c>
    </row>
    <row r="822">
      <c r="M822" s="277"/>
      <c r="N822" s="105">
        <f>SUMIFS(Entradas[Valores],Entradas[Cliente],M822,Entradas[Data da Competência],"&gt;="&amp;RESUMO!$C$4,Entradas[Data da Competência],"&lt;"&amp;RESUMO!$D$5,Entradas[Centro de Custos],X!$E$14,Entradas[Status],X!$E$13)</f>
        <v>0</v>
      </c>
      <c r="P822" s="277"/>
      <c r="Q822" s="105">
        <f>SUMIFS(Saidas[Valores],Saidas[Fornecedor],P822,Saidas[Data da Competência],"&gt;="&amp;RESUMO!$C$4,Saidas[Data da Competência],"&lt;"&amp;RESUMO!$D$5,Saidas[Centro de Custos],X!$E$14,Saidas[Status],X!$E$13)</f>
        <v>0</v>
      </c>
    </row>
    <row r="823">
      <c r="M823" s="277"/>
      <c r="N823" s="105">
        <f>SUMIFS(Entradas[Valores],Entradas[Cliente],M823,Entradas[Data da Competência],"&gt;="&amp;RESUMO!$C$4,Entradas[Data da Competência],"&lt;"&amp;RESUMO!$D$5,Entradas[Centro de Custos],X!$E$14,Entradas[Status],X!$E$13)</f>
        <v>0</v>
      </c>
      <c r="P823" s="277"/>
      <c r="Q823" s="105">
        <f>SUMIFS(Saidas[Valores],Saidas[Fornecedor],P823,Saidas[Data da Competência],"&gt;="&amp;RESUMO!$C$4,Saidas[Data da Competência],"&lt;"&amp;RESUMO!$D$5,Saidas[Centro de Custos],X!$E$14,Saidas[Status],X!$E$13)</f>
        <v>0</v>
      </c>
    </row>
    <row r="824">
      <c r="M824" s="277"/>
      <c r="N824" s="105">
        <f>SUMIFS(Entradas[Valores],Entradas[Cliente],M824,Entradas[Data da Competência],"&gt;="&amp;RESUMO!$C$4,Entradas[Data da Competência],"&lt;"&amp;RESUMO!$D$5,Entradas[Centro de Custos],X!$E$14,Entradas[Status],X!$E$13)</f>
        <v>0</v>
      </c>
      <c r="P824" s="277"/>
      <c r="Q824" s="105">
        <f>SUMIFS(Saidas[Valores],Saidas[Fornecedor],P824,Saidas[Data da Competência],"&gt;="&amp;RESUMO!$C$4,Saidas[Data da Competência],"&lt;"&amp;RESUMO!$D$5,Saidas[Centro de Custos],X!$E$14,Saidas[Status],X!$E$13)</f>
        <v>0</v>
      </c>
    </row>
    <row r="825">
      <c r="M825" s="277"/>
      <c r="N825" s="105">
        <f>SUMIFS(Entradas[Valores],Entradas[Cliente],M825,Entradas[Data da Competência],"&gt;="&amp;RESUMO!$C$4,Entradas[Data da Competência],"&lt;"&amp;RESUMO!$D$5,Entradas[Centro de Custos],X!$E$14,Entradas[Status],X!$E$13)</f>
        <v>0</v>
      </c>
      <c r="P825" s="277"/>
      <c r="Q825" s="105">
        <f>SUMIFS(Saidas[Valores],Saidas[Fornecedor],P825,Saidas[Data da Competência],"&gt;="&amp;RESUMO!$C$4,Saidas[Data da Competência],"&lt;"&amp;RESUMO!$D$5,Saidas[Centro de Custos],X!$E$14,Saidas[Status],X!$E$13)</f>
        <v>0</v>
      </c>
    </row>
    <row r="826">
      <c r="M826" s="277"/>
      <c r="N826" s="105">
        <f>SUMIFS(Entradas[Valores],Entradas[Cliente],M826,Entradas[Data da Competência],"&gt;="&amp;RESUMO!$C$4,Entradas[Data da Competência],"&lt;"&amp;RESUMO!$D$5,Entradas[Centro de Custos],X!$E$14,Entradas[Status],X!$E$13)</f>
        <v>0</v>
      </c>
      <c r="P826" s="277"/>
      <c r="Q826" s="105">
        <f>SUMIFS(Saidas[Valores],Saidas[Fornecedor],P826,Saidas[Data da Competência],"&gt;="&amp;RESUMO!$C$4,Saidas[Data da Competência],"&lt;"&amp;RESUMO!$D$5,Saidas[Centro de Custos],X!$E$14,Saidas[Status],X!$E$13)</f>
        <v>0</v>
      </c>
    </row>
    <row r="827">
      <c r="M827" s="277"/>
      <c r="N827" s="105">
        <f>SUMIFS(Entradas[Valores],Entradas[Cliente],M827,Entradas[Data da Competência],"&gt;="&amp;RESUMO!$C$4,Entradas[Data da Competência],"&lt;"&amp;RESUMO!$D$5,Entradas[Centro de Custos],X!$E$14,Entradas[Status],X!$E$13)</f>
        <v>0</v>
      </c>
      <c r="P827" s="277"/>
      <c r="Q827" s="105">
        <f>SUMIFS(Saidas[Valores],Saidas[Fornecedor],P827,Saidas[Data da Competência],"&gt;="&amp;RESUMO!$C$4,Saidas[Data da Competência],"&lt;"&amp;RESUMO!$D$5,Saidas[Centro de Custos],X!$E$14,Saidas[Status],X!$E$13)</f>
        <v>0</v>
      </c>
    </row>
    <row r="828">
      <c r="M828" s="277"/>
      <c r="N828" s="105">
        <f>SUMIFS(Entradas[Valores],Entradas[Cliente],M828,Entradas[Data da Competência],"&gt;="&amp;RESUMO!$C$4,Entradas[Data da Competência],"&lt;"&amp;RESUMO!$D$5,Entradas[Centro de Custos],X!$E$14,Entradas[Status],X!$E$13)</f>
        <v>0</v>
      </c>
      <c r="P828" s="277"/>
      <c r="Q828" s="105">
        <f>SUMIFS(Saidas[Valores],Saidas[Fornecedor],P828,Saidas[Data da Competência],"&gt;="&amp;RESUMO!$C$4,Saidas[Data da Competência],"&lt;"&amp;RESUMO!$D$5,Saidas[Centro de Custos],X!$E$14,Saidas[Status],X!$E$13)</f>
        <v>0</v>
      </c>
    </row>
    <row r="829">
      <c r="M829" s="277"/>
      <c r="N829" s="105">
        <f>SUMIFS(Entradas[Valores],Entradas[Cliente],M829,Entradas[Data da Competência],"&gt;="&amp;RESUMO!$C$4,Entradas[Data da Competência],"&lt;"&amp;RESUMO!$D$5,Entradas[Centro de Custos],X!$E$14,Entradas[Status],X!$E$13)</f>
        <v>0</v>
      </c>
      <c r="P829" s="277"/>
      <c r="Q829" s="105">
        <f>SUMIFS(Saidas[Valores],Saidas[Fornecedor],P829,Saidas[Data da Competência],"&gt;="&amp;RESUMO!$C$4,Saidas[Data da Competência],"&lt;"&amp;RESUMO!$D$5,Saidas[Centro de Custos],X!$E$14,Saidas[Status],X!$E$13)</f>
        <v>0</v>
      </c>
    </row>
    <row r="830">
      <c r="M830" s="277"/>
      <c r="N830" s="105">
        <f>SUMIFS(Entradas[Valores],Entradas[Cliente],M830,Entradas[Data da Competência],"&gt;="&amp;RESUMO!$C$4,Entradas[Data da Competência],"&lt;"&amp;RESUMO!$D$5,Entradas[Centro de Custos],X!$E$14,Entradas[Status],X!$E$13)</f>
        <v>0</v>
      </c>
      <c r="P830" s="277"/>
      <c r="Q830" s="105">
        <f>SUMIFS(Saidas[Valores],Saidas[Fornecedor],P830,Saidas[Data da Competência],"&gt;="&amp;RESUMO!$C$4,Saidas[Data da Competência],"&lt;"&amp;RESUMO!$D$5,Saidas[Centro de Custos],X!$E$14,Saidas[Status],X!$E$13)</f>
        <v>0</v>
      </c>
    </row>
    <row r="831">
      <c r="M831" s="277"/>
      <c r="N831" s="105">
        <f>SUMIFS(Entradas[Valores],Entradas[Cliente],M831,Entradas[Data da Competência],"&gt;="&amp;RESUMO!$C$4,Entradas[Data da Competência],"&lt;"&amp;RESUMO!$D$5,Entradas[Centro de Custos],X!$E$14,Entradas[Status],X!$E$13)</f>
        <v>0</v>
      </c>
      <c r="P831" s="277"/>
      <c r="Q831" s="105">
        <f>SUMIFS(Saidas[Valores],Saidas[Fornecedor],P831,Saidas[Data da Competência],"&gt;="&amp;RESUMO!$C$4,Saidas[Data da Competência],"&lt;"&amp;RESUMO!$D$5,Saidas[Centro de Custos],X!$E$14,Saidas[Status],X!$E$13)</f>
        <v>0</v>
      </c>
    </row>
    <row r="832">
      <c r="M832" s="277"/>
      <c r="N832" s="105">
        <f>SUMIFS(Entradas[Valores],Entradas[Cliente],M832,Entradas[Data da Competência],"&gt;="&amp;RESUMO!$C$4,Entradas[Data da Competência],"&lt;"&amp;RESUMO!$D$5,Entradas[Centro de Custos],X!$E$14,Entradas[Status],X!$E$13)</f>
        <v>0</v>
      </c>
      <c r="P832" s="277"/>
      <c r="Q832" s="105">
        <f>SUMIFS(Saidas[Valores],Saidas[Fornecedor],P832,Saidas[Data da Competência],"&gt;="&amp;RESUMO!$C$4,Saidas[Data da Competência],"&lt;"&amp;RESUMO!$D$5,Saidas[Centro de Custos],X!$E$14,Saidas[Status],X!$E$13)</f>
        <v>0</v>
      </c>
    </row>
    <row r="833">
      <c r="M833" s="277"/>
      <c r="N833" s="105">
        <f>SUMIFS(Entradas[Valores],Entradas[Cliente],M833,Entradas[Data da Competência],"&gt;="&amp;RESUMO!$C$4,Entradas[Data da Competência],"&lt;"&amp;RESUMO!$D$5,Entradas[Centro de Custos],X!$E$14,Entradas[Status],X!$E$13)</f>
        <v>0</v>
      </c>
      <c r="P833" s="277"/>
      <c r="Q833" s="105">
        <f>SUMIFS(Saidas[Valores],Saidas[Fornecedor],P833,Saidas[Data da Competência],"&gt;="&amp;RESUMO!$C$4,Saidas[Data da Competência],"&lt;"&amp;RESUMO!$D$5,Saidas[Centro de Custos],X!$E$14,Saidas[Status],X!$E$13)</f>
        <v>0</v>
      </c>
    </row>
    <row r="834">
      <c r="M834" s="277"/>
      <c r="N834" s="105">
        <f>SUMIFS(Entradas[Valores],Entradas[Cliente],M834,Entradas[Data da Competência],"&gt;="&amp;RESUMO!$C$4,Entradas[Data da Competência],"&lt;"&amp;RESUMO!$D$5,Entradas[Centro de Custos],X!$E$14,Entradas[Status],X!$E$13)</f>
        <v>0</v>
      </c>
      <c r="P834" s="277"/>
      <c r="Q834" s="105">
        <f>SUMIFS(Saidas[Valores],Saidas[Fornecedor],P834,Saidas[Data da Competência],"&gt;="&amp;RESUMO!$C$4,Saidas[Data da Competência],"&lt;"&amp;RESUMO!$D$5,Saidas[Centro de Custos],X!$E$14,Saidas[Status],X!$E$13)</f>
        <v>0</v>
      </c>
    </row>
    <row r="835">
      <c r="M835" s="277"/>
      <c r="N835" s="105">
        <f>SUMIFS(Entradas[Valores],Entradas[Cliente],M835,Entradas[Data da Competência],"&gt;="&amp;RESUMO!$C$4,Entradas[Data da Competência],"&lt;"&amp;RESUMO!$D$5,Entradas[Centro de Custos],X!$E$14,Entradas[Status],X!$E$13)</f>
        <v>0</v>
      </c>
      <c r="P835" s="277"/>
      <c r="Q835" s="105">
        <f>SUMIFS(Saidas[Valores],Saidas[Fornecedor],P835,Saidas[Data da Competência],"&gt;="&amp;RESUMO!$C$4,Saidas[Data da Competência],"&lt;"&amp;RESUMO!$D$5,Saidas[Centro de Custos],X!$E$14,Saidas[Status],X!$E$13)</f>
        <v>0</v>
      </c>
    </row>
    <row r="836">
      <c r="M836" s="277"/>
      <c r="N836" s="105">
        <f>SUMIFS(Entradas[Valores],Entradas[Cliente],M836,Entradas[Data da Competência],"&gt;="&amp;RESUMO!$C$4,Entradas[Data da Competência],"&lt;"&amp;RESUMO!$D$5,Entradas[Centro de Custos],X!$E$14,Entradas[Status],X!$E$13)</f>
        <v>0</v>
      </c>
      <c r="P836" s="277"/>
      <c r="Q836" s="105">
        <f>SUMIFS(Saidas[Valores],Saidas[Fornecedor],P836,Saidas[Data da Competência],"&gt;="&amp;RESUMO!$C$4,Saidas[Data da Competência],"&lt;"&amp;RESUMO!$D$5,Saidas[Centro de Custos],X!$E$14,Saidas[Status],X!$E$13)</f>
        <v>0</v>
      </c>
    </row>
    <row r="837">
      <c r="M837" s="277"/>
      <c r="N837" s="105">
        <f>SUMIFS(Entradas[Valores],Entradas[Cliente],M837,Entradas[Data da Competência],"&gt;="&amp;RESUMO!$C$4,Entradas[Data da Competência],"&lt;"&amp;RESUMO!$D$5,Entradas[Centro de Custos],X!$E$14,Entradas[Status],X!$E$13)</f>
        <v>0</v>
      </c>
      <c r="P837" s="277"/>
      <c r="Q837" s="105">
        <f>SUMIFS(Saidas[Valores],Saidas[Fornecedor],P837,Saidas[Data da Competência],"&gt;="&amp;RESUMO!$C$4,Saidas[Data da Competência],"&lt;"&amp;RESUMO!$D$5,Saidas[Centro de Custos],X!$E$14,Saidas[Status],X!$E$13)</f>
        <v>0</v>
      </c>
    </row>
    <row r="838">
      <c r="M838" s="277"/>
      <c r="N838" s="105">
        <f>SUMIFS(Entradas[Valores],Entradas[Cliente],M838,Entradas[Data da Competência],"&gt;="&amp;RESUMO!$C$4,Entradas[Data da Competência],"&lt;"&amp;RESUMO!$D$5,Entradas[Centro de Custos],X!$E$14,Entradas[Status],X!$E$13)</f>
        <v>0</v>
      </c>
      <c r="P838" s="277"/>
      <c r="Q838" s="105">
        <f>SUMIFS(Saidas[Valores],Saidas[Fornecedor],P838,Saidas[Data da Competência],"&gt;="&amp;RESUMO!$C$4,Saidas[Data da Competência],"&lt;"&amp;RESUMO!$D$5,Saidas[Centro de Custos],X!$E$14,Saidas[Status],X!$E$13)</f>
        <v>0</v>
      </c>
    </row>
    <row r="839">
      <c r="M839" s="277"/>
      <c r="N839" s="105">
        <f>SUMIFS(Entradas[Valores],Entradas[Cliente],M839,Entradas[Data da Competência],"&gt;="&amp;RESUMO!$C$4,Entradas[Data da Competência],"&lt;"&amp;RESUMO!$D$5,Entradas[Centro de Custos],X!$E$14,Entradas[Status],X!$E$13)</f>
        <v>0</v>
      </c>
      <c r="P839" s="277"/>
      <c r="Q839" s="105">
        <f>SUMIFS(Saidas[Valores],Saidas[Fornecedor],P839,Saidas[Data da Competência],"&gt;="&amp;RESUMO!$C$4,Saidas[Data da Competência],"&lt;"&amp;RESUMO!$D$5,Saidas[Centro de Custos],X!$E$14,Saidas[Status],X!$E$13)</f>
        <v>0</v>
      </c>
    </row>
    <row r="840">
      <c r="M840" s="277"/>
      <c r="N840" s="105">
        <f>SUMIFS(Entradas[Valores],Entradas[Cliente],M840,Entradas[Data da Competência],"&gt;="&amp;RESUMO!$C$4,Entradas[Data da Competência],"&lt;"&amp;RESUMO!$D$5,Entradas[Centro de Custos],X!$E$14,Entradas[Status],X!$E$13)</f>
        <v>0</v>
      </c>
      <c r="P840" s="277"/>
      <c r="Q840" s="105">
        <f>SUMIFS(Saidas[Valores],Saidas[Fornecedor],P840,Saidas[Data da Competência],"&gt;="&amp;RESUMO!$C$4,Saidas[Data da Competência],"&lt;"&amp;RESUMO!$D$5,Saidas[Centro de Custos],X!$E$14,Saidas[Status],X!$E$13)</f>
        <v>0</v>
      </c>
    </row>
    <row r="841">
      <c r="M841" s="277"/>
      <c r="N841" s="105">
        <f>SUMIFS(Entradas[Valores],Entradas[Cliente],M841,Entradas[Data da Competência],"&gt;="&amp;RESUMO!$C$4,Entradas[Data da Competência],"&lt;"&amp;RESUMO!$D$5,Entradas[Centro de Custos],X!$E$14,Entradas[Status],X!$E$13)</f>
        <v>0</v>
      </c>
      <c r="P841" s="277"/>
      <c r="Q841" s="105">
        <f>SUMIFS(Saidas[Valores],Saidas[Fornecedor],P841,Saidas[Data da Competência],"&gt;="&amp;RESUMO!$C$4,Saidas[Data da Competência],"&lt;"&amp;RESUMO!$D$5,Saidas[Centro de Custos],X!$E$14,Saidas[Status],X!$E$13)</f>
        <v>0</v>
      </c>
    </row>
    <row r="842">
      <c r="M842" s="277"/>
      <c r="N842" s="105">
        <f>SUMIFS(Entradas[Valores],Entradas[Cliente],M842,Entradas[Data da Competência],"&gt;="&amp;RESUMO!$C$4,Entradas[Data da Competência],"&lt;"&amp;RESUMO!$D$5,Entradas[Centro de Custos],X!$E$14,Entradas[Status],X!$E$13)</f>
        <v>0</v>
      </c>
      <c r="P842" s="277"/>
      <c r="Q842" s="105">
        <f>SUMIFS(Saidas[Valores],Saidas[Fornecedor],P842,Saidas[Data da Competência],"&gt;="&amp;RESUMO!$C$4,Saidas[Data da Competência],"&lt;"&amp;RESUMO!$D$5,Saidas[Centro de Custos],X!$E$14,Saidas[Status],X!$E$13)</f>
        <v>0</v>
      </c>
    </row>
    <row r="843">
      <c r="M843" s="277"/>
      <c r="N843" s="105">
        <f>SUMIFS(Entradas[Valores],Entradas[Cliente],M843,Entradas[Data da Competência],"&gt;="&amp;RESUMO!$C$4,Entradas[Data da Competência],"&lt;"&amp;RESUMO!$D$5,Entradas[Centro de Custos],X!$E$14,Entradas[Status],X!$E$13)</f>
        <v>0</v>
      </c>
      <c r="P843" s="277"/>
      <c r="Q843" s="105">
        <f>SUMIFS(Saidas[Valores],Saidas[Fornecedor],P843,Saidas[Data da Competência],"&gt;="&amp;RESUMO!$C$4,Saidas[Data da Competência],"&lt;"&amp;RESUMO!$D$5,Saidas[Centro de Custos],X!$E$14,Saidas[Status],X!$E$13)</f>
        <v>0</v>
      </c>
    </row>
    <row r="844">
      <c r="M844" s="277"/>
      <c r="N844" s="105">
        <f>SUMIFS(Entradas[Valores],Entradas[Cliente],M844,Entradas[Data da Competência],"&gt;="&amp;RESUMO!$C$4,Entradas[Data da Competência],"&lt;"&amp;RESUMO!$D$5,Entradas[Centro de Custos],X!$E$14,Entradas[Status],X!$E$13)</f>
        <v>0</v>
      </c>
      <c r="P844" s="277"/>
      <c r="Q844" s="105">
        <f>SUMIFS(Saidas[Valores],Saidas[Fornecedor],P844,Saidas[Data da Competência],"&gt;="&amp;RESUMO!$C$4,Saidas[Data da Competência],"&lt;"&amp;RESUMO!$D$5,Saidas[Centro de Custos],X!$E$14,Saidas[Status],X!$E$13)</f>
        <v>0</v>
      </c>
    </row>
    <row r="845">
      <c r="M845" s="277"/>
      <c r="N845" s="105">
        <f>SUMIFS(Entradas[Valores],Entradas[Cliente],M845,Entradas[Data da Competência],"&gt;="&amp;RESUMO!$C$4,Entradas[Data da Competência],"&lt;"&amp;RESUMO!$D$5,Entradas[Centro de Custos],X!$E$14,Entradas[Status],X!$E$13)</f>
        <v>0</v>
      </c>
      <c r="P845" s="277"/>
      <c r="Q845" s="105">
        <f>SUMIFS(Saidas[Valores],Saidas[Fornecedor],P845,Saidas[Data da Competência],"&gt;="&amp;RESUMO!$C$4,Saidas[Data da Competência],"&lt;"&amp;RESUMO!$D$5,Saidas[Centro de Custos],X!$E$14,Saidas[Status],X!$E$13)</f>
        <v>0</v>
      </c>
    </row>
    <row r="846">
      <c r="M846" s="277"/>
      <c r="N846" s="105">
        <f>SUMIFS(Entradas[Valores],Entradas[Cliente],M846,Entradas[Data da Competência],"&gt;="&amp;RESUMO!$C$4,Entradas[Data da Competência],"&lt;"&amp;RESUMO!$D$5,Entradas[Centro de Custos],X!$E$14,Entradas[Status],X!$E$13)</f>
        <v>0</v>
      </c>
      <c r="P846" s="277"/>
      <c r="Q846" s="105">
        <f>SUMIFS(Saidas[Valores],Saidas[Fornecedor],P846,Saidas[Data da Competência],"&gt;="&amp;RESUMO!$C$4,Saidas[Data da Competência],"&lt;"&amp;RESUMO!$D$5,Saidas[Centro de Custos],X!$E$14,Saidas[Status],X!$E$13)</f>
        <v>0</v>
      </c>
    </row>
    <row r="847">
      <c r="M847" s="277"/>
      <c r="N847" s="105">
        <f>SUMIFS(Entradas[Valores],Entradas[Cliente],M847,Entradas[Data da Competência],"&gt;="&amp;RESUMO!$C$4,Entradas[Data da Competência],"&lt;"&amp;RESUMO!$D$5,Entradas[Centro de Custos],X!$E$14,Entradas[Status],X!$E$13)</f>
        <v>0</v>
      </c>
      <c r="P847" s="277"/>
      <c r="Q847" s="105">
        <f>SUMIFS(Saidas[Valores],Saidas[Fornecedor],P847,Saidas[Data da Competência],"&gt;="&amp;RESUMO!$C$4,Saidas[Data da Competência],"&lt;"&amp;RESUMO!$D$5,Saidas[Centro de Custos],X!$E$14,Saidas[Status],X!$E$13)</f>
        <v>0</v>
      </c>
    </row>
    <row r="848">
      <c r="M848" s="277"/>
      <c r="N848" s="105">
        <f>SUMIFS(Entradas[Valores],Entradas[Cliente],M848,Entradas[Data da Competência],"&gt;="&amp;RESUMO!$C$4,Entradas[Data da Competência],"&lt;"&amp;RESUMO!$D$5,Entradas[Centro de Custos],X!$E$14,Entradas[Status],X!$E$13)</f>
        <v>0</v>
      </c>
      <c r="P848" s="277"/>
      <c r="Q848" s="105">
        <f>SUMIFS(Saidas[Valores],Saidas[Fornecedor],P848,Saidas[Data da Competência],"&gt;="&amp;RESUMO!$C$4,Saidas[Data da Competência],"&lt;"&amp;RESUMO!$D$5,Saidas[Centro de Custos],X!$E$14,Saidas[Status],X!$E$13)</f>
        <v>0</v>
      </c>
    </row>
    <row r="849">
      <c r="M849" s="277"/>
      <c r="N849" s="105">
        <f>SUMIFS(Entradas[Valores],Entradas[Cliente],M849,Entradas[Data da Competência],"&gt;="&amp;RESUMO!$C$4,Entradas[Data da Competência],"&lt;"&amp;RESUMO!$D$5,Entradas[Centro de Custos],X!$E$14,Entradas[Status],X!$E$13)</f>
        <v>0</v>
      </c>
      <c r="P849" s="277"/>
      <c r="Q849" s="105">
        <f>SUMIFS(Saidas[Valores],Saidas[Fornecedor],P849,Saidas[Data da Competência],"&gt;="&amp;RESUMO!$C$4,Saidas[Data da Competência],"&lt;"&amp;RESUMO!$D$5,Saidas[Centro de Custos],X!$E$14,Saidas[Status],X!$E$13)</f>
        <v>0</v>
      </c>
    </row>
    <row r="850">
      <c r="M850" s="277"/>
      <c r="N850" s="105">
        <f>SUMIFS(Entradas[Valores],Entradas[Cliente],M850,Entradas[Data da Competência],"&gt;="&amp;RESUMO!$C$4,Entradas[Data da Competência],"&lt;"&amp;RESUMO!$D$5,Entradas[Centro de Custos],X!$E$14,Entradas[Status],X!$E$13)</f>
        <v>0</v>
      </c>
      <c r="P850" s="277"/>
      <c r="Q850" s="105">
        <f>SUMIFS(Saidas[Valores],Saidas[Fornecedor],P850,Saidas[Data da Competência],"&gt;="&amp;RESUMO!$C$4,Saidas[Data da Competência],"&lt;"&amp;RESUMO!$D$5,Saidas[Centro de Custos],X!$E$14,Saidas[Status],X!$E$13)</f>
        <v>0</v>
      </c>
    </row>
    <row r="851">
      <c r="M851" s="277"/>
      <c r="N851" s="105">
        <f>SUMIFS(Entradas[Valores],Entradas[Cliente],M851,Entradas[Data da Competência],"&gt;="&amp;RESUMO!$C$4,Entradas[Data da Competência],"&lt;"&amp;RESUMO!$D$5,Entradas[Centro de Custos],X!$E$14,Entradas[Status],X!$E$13)</f>
        <v>0</v>
      </c>
      <c r="P851" s="277"/>
      <c r="Q851" s="105">
        <f>SUMIFS(Saidas[Valores],Saidas[Fornecedor],P851,Saidas[Data da Competência],"&gt;="&amp;RESUMO!$C$4,Saidas[Data da Competência],"&lt;"&amp;RESUMO!$D$5,Saidas[Centro de Custos],X!$E$14,Saidas[Status],X!$E$13)</f>
        <v>0</v>
      </c>
    </row>
    <row r="852">
      <c r="M852" s="277"/>
      <c r="N852" s="105">
        <f>SUMIFS(Entradas[Valores],Entradas[Cliente],M852,Entradas[Data da Competência],"&gt;="&amp;RESUMO!$C$4,Entradas[Data da Competência],"&lt;"&amp;RESUMO!$D$5,Entradas[Centro de Custos],X!$E$14,Entradas[Status],X!$E$13)</f>
        <v>0</v>
      </c>
      <c r="P852" s="277"/>
      <c r="Q852" s="105">
        <f>SUMIFS(Saidas[Valores],Saidas[Fornecedor],P852,Saidas[Data da Competência],"&gt;="&amp;RESUMO!$C$4,Saidas[Data da Competência],"&lt;"&amp;RESUMO!$D$5,Saidas[Centro de Custos],X!$E$14,Saidas[Status],X!$E$13)</f>
        <v>0</v>
      </c>
    </row>
    <row r="853">
      <c r="M853" s="277"/>
      <c r="N853" s="105">
        <f>SUMIFS(Entradas[Valores],Entradas[Cliente],M853,Entradas[Data da Competência],"&gt;="&amp;RESUMO!$C$4,Entradas[Data da Competência],"&lt;"&amp;RESUMO!$D$5,Entradas[Centro de Custos],X!$E$14,Entradas[Status],X!$E$13)</f>
        <v>0</v>
      </c>
      <c r="P853" s="277"/>
      <c r="Q853" s="105">
        <f>SUMIFS(Saidas[Valores],Saidas[Fornecedor],P853,Saidas[Data da Competência],"&gt;="&amp;RESUMO!$C$4,Saidas[Data da Competência],"&lt;"&amp;RESUMO!$D$5,Saidas[Centro de Custos],X!$E$14,Saidas[Status],X!$E$13)</f>
        <v>0</v>
      </c>
    </row>
    <row r="854">
      <c r="M854" s="277"/>
      <c r="N854" s="105">
        <f>SUMIFS(Entradas[Valores],Entradas[Cliente],M854,Entradas[Data da Competência],"&gt;="&amp;RESUMO!$C$4,Entradas[Data da Competência],"&lt;"&amp;RESUMO!$D$5,Entradas[Centro de Custos],X!$E$14,Entradas[Status],X!$E$13)</f>
        <v>0</v>
      </c>
      <c r="P854" s="277"/>
      <c r="Q854" s="105">
        <f>SUMIFS(Saidas[Valores],Saidas[Fornecedor],P854,Saidas[Data da Competência],"&gt;="&amp;RESUMO!$C$4,Saidas[Data da Competência],"&lt;"&amp;RESUMO!$D$5,Saidas[Centro de Custos],X!$E$14,Saidas[Status],X!$E$13)</f>
        <v>0</v>
      </c>
    </row>
    <row r="855">
      <c r="M855" s="277"/>
      <c r="N855" s="105">
        <f>SUMIFS(Entradas[Valores],Entradas[Cliente],M855,Entradas[Data da Competência],"&gt;="&amp;RESUMO!$C$4,Entradas[Data da Competência],"&lt;"&amp;RESUMO!$D$5,Entradas[Centro de Custos],X!$E$14,Entradas[Status],X!$E$13)</f>
        <v>0</v>
      </c>
      <c r="P855" s="277"/>
      <c r="Q855" s="105">
        <f>SUMIFS(Saidas[Valores],Saidas[Fornecedor],P855,Saidas[Data da Competência],"&gt;="&amp;RESUMO!$C$4,Saidas[Data da Competência],"&lt;"&amp;RESUMO!$D$5,Saidas[Centro de Custos],X!$E$14,Saidas[Status],X!$E$13)</f>
        <v>0</v>
      </c>
    </row>
    <row r="856">
      <c r="M856" s="277"/>
      <c r="N856" s="105">
        <f>SUMIFS(Entradas[Valores],Entradas[Cliente],M856,Entradas[Data da Competência],"&gt;="&amp;RESUMO!$C$4,Entradas[Data da Competência],"&lt;"&amp;RESUMO!$D$5,Entradas[Centro de Custos],X!$E$14,Entradas[Status],X!$E$13)</f>
        <v>0</v>
      </c>
      <c r="P856" s="277"/>
      <c r="Q856" s="105">
        <f>SUMIFS(Saidas[Valores],Saidas[Fornecedor],P856,Saidas[Data da Competência],"&gt;="&amp;RESUMO!$C$4,Saidas[Data da Competência],"&lt;"&amp;RESUMO!$D$5,Saidas[Centro de Custos],X!$E$14,Saidas[Status],X!$E$13)</f>
        <v>0</v>
      </c>
    </row>
    <row r="857">
      <c r="M857" s="277"/>
      <c r="N857" s="105">
        <f>SUMIFS(Entradas[Valores],Entradas[Cliente],M857,Entradas[Data da Competência],"&gt;="&amp;RESUMO!$C$4,Entradas[Data da Competência],"&lt;"&amp;RESUMO!$D$5,Entradas[Centro de Custos],X!$E$14,Entradas[Status],X!$E$13)</f>
        <v>0</v>
      </c>
      <c r="P857" s="277"/>
      <c r="Q857" s="105">
        <f>SUMIFS(Saidas[Valores],Saidas[Fornecedor],P857,Saidas[Data da Competência],"&gt;="&amp;RESUMO!$C$4,Saidas[Data da Competência],"&lt;"&amp;RESUMO!$D$5,Saidas[Centro de Custos],X!$E$14,Saidas[Status],X!$E$13)</f>
        <v>0</v>
      </c>
    </row>
    <row r="858">
      <c r="M858" s="277"/>
      <c r="N858" s="105">
        <f>SUMIFS(Entradas[Valores],Entradas[Cliente],M858,Entradas[Data da Competência],"&gt;="&amp;RESUMO!$C$4,Entradas[Data da Competência],"&lt;"&amp;RESUMO!$D$5,Entradas[Centro de Custos],X!$E$14,Entradas[Status],X!$E$13)</f>
        <v>0</v>
      </c>
      <c r="P858" s="277"/>
      <c r="Q858" s="105">
        <f>SUMIFS(Saidas[Valores],Saidas[Fornecedor],P858,Saidas[Data da Competência],"&gt;="&amp;RESUMO!$C$4,Saidas[Data da Competência],"&lt;"&amp;RESUMO!$D$5,Saidas[Centro de Custos],X!$E$14,Saidas[Status],X!$E$13)</f>
        <v>0</v>
      </c>
    </row>
    <row r="859">
      <c r="M859" s="277"/>
      <c r="N859" s="105">
        <f>SUMIFS(Entradas[Valores],Entradas[Cliente],M859,Entradas[Data da Competência],"&gt;="&amp;RESUMO!$C$4,Entradas[Data da Competência],"&lt;"&amp;RESUMO!$D$5,Entradas[Centro de Custos],X!$E$14,Entradas[Status],X!$E$13)</f>
        <v>0</v>
      </c>
      <c r="P859" s="277"/>
      <c r="Q859" s="105">
        <f>SUMIFS(Saidas[Valores],Saidas[Fornecedor],P859,Saidas[Data da Competência],"&gt;="&amp;RESUMO!$C$4,Saidas[Data da Competência],"&lt;"&amp;RESUMO!$D$5,Saidas[Centro de Custos],X!$E$14,Saidas[Status],X!$E$13)</f>
        <v>0</v>
      </c>
    </row>
    <row r="860">
      <c r="M860" s="277"/>
      <c r="N860" s="105">
        <f>SUMIFS(Entradas[Valores],Entradas[Cliente],M860,Entradas[Data da Competência],"&gt;="&amp;RESUMO!$C$4,Entradas[Data da Competência],"&lt;"&amp;RESUMO!$D$5,Entradas[Centro de Custos],X!$E$14,Entradas[Status],X!$E$13)</f>
        <v>0</v>
      </c>
      <c r="P860" s="277"/>
      <c r="Q860" s="105">
        <f>SUMIFS(Saidas[Valores],Saidas[Fornecedor],P860,Saidas[Data da Competência],"&gt;="&amp;RESUMO!$C$4,Saidas[Data da Competência],"&lt;"&amp;RESUMO!$D$5,Saidas[Centro de Custos],X!$E$14,Saidas[Status],X!$E$13)</f>
        <v>0</v>
      </c>
    </row>
    <row r="861">
      <c r="M861" s="277"/>
      <c r="N861" s="105">
        <f>SUMIFS(Entradas[Valores],Entradas[Cliente],M861,Entradas[Data da Competência],"&gt;="&amp;RESUMO!$C$4,Entradas[Data da Competência],"&lt;"&amp;RESUMO!$D$5,Entradas[Centro de Custos],X!$E$14,Entradas[Status],X!$E$13)</f>
        <v>0</v>
      </c>
      <c r="P861" s="277"/>
      <c r="Q861" s="105">
        <f>SUMIFS(Saidas[Valores],Saidas[Fornecedor],P861,Saidas[Data da Competência],"&gt;="&amp;RESUMO!$C$4,Saidas[Data da Competência],"&lt;"&amp;RESUMO!$D$5,Saidas[Centro de Custos],X!$E$14,Saidas[Status],X!$E$13)</f>
        <v>0</v>
      </c>
    </row>
    <row r="862">
      <c r="M862" s="277"/>
      <c r="N862" s="105">
        <f>SUMIFS(Entradas[Valores],Entradas[Cliente],M862,Entradas[Data da Competência],"&gt;="&amp;RESUMO!$C$4,Entradas[Data da Competência],"&lt;"&amp;RESUMO!$D$5,Entradas[Centro de Custos],X!$E$14,Entradas[Status],X!$E$13)</f>
        <v>0</v>
      </c>
      <c r="P862" s="277"/>
      <c r="Q862" s="105">
        <f>SUMIFS(Saidas[Valores],Saidas[Fornecedor],P862,Saidas[Data da Competência],"&gt;="&amp;RESUMO!$C$4,Saidas[Data da Competência],"&lt;"&amp;RESUMO!$D$5,Saidas[Centro de Custos],X!$E$14,Saidas[Status],X!$E$13)</f>
        <v>0</v>
      </c>
    </row>
    <row r="863">
      <c r="M863" s="277"/>
      <c r="N863" s="105">
        <f>SUMIFS(Entradas[Valores],Entradas[Cliente],M863,Entradas[Data da Competência],"&gt;="&amp;RESUMO!$C$4,Entradas[Data da Competência],"&lt;"&amp;RESUMO!$D$5,Entradas[Centro de Custos],X!$E$14,Entradas[Status],X!$E$13)</f>
        <v>0</v>
      </c>
      <c r="P863" s="277"/>
      <c r="Q863" s="105">
        <f>SUMIFS(Saidas[Valores],Saidas[Fornecedor],P863,Saidas[Data da Competência],"&gt;="&amp;RESUMO!$C$4,Saidas[Data da Competência],"&lt;"&amp;RESUMO!$D$5,Saidas[Centro de Custos],X!$E$14,Saidas[Status],X!$E$13)</f>
        <v>0</v>
      </c>
    </row>
    <row r="864">
      <c r="M864" s="277"/>
      <c r="N864" s="105">
        <f>SUMIFS(Entradas[Valores],Entradas[Cliente],M864,Entradas[Data da Competência],"&gt;="&amp;RESUMO!$C$4,Entradas[Data da Competência],"&lt;"&amp;RESUMO!$D$5,Entradas[Centro de Custos],X!$E$14,Entradas[Status],X!$E$13)</f>
        <v>0</v>
      </c>
      <c r="P864" s="277"/>
      <c r="Q864" s="105">
        <f>SUMIFS(Saidas[Valores],Saidas[Fornecedor],P864,Saidas[Data da Competência],"&gt;="&amp;RESUMO!$C$4,Saidas[Data da Competência],"&lt;"&amp;RESUMO!$D$5,Saidas[Centro de Custos],X!$E$14,Saidas[Status],X!$E$13)</f>
        <v>0</v>
      </c>
    </row>
    <row r="865">
      <c r="M865" s="277"/>
      <c r="N865" s="105">
        <f>SUMIFS(Entradas[Valores],Entradas[Cliente],M865,Entradas[Data da Competência],"&gt;="&amp;RESUMO!$C$4,Entradas[Data da Competência],"&lt;"&amp;RESUMO!$D$5,Entradas[Centro de Custos],X!$E$14,Entradas[Status],X!$E$13)</f>
        <v>0</v>
      </c>
      <c r="P865" s="277"/>
      <c r="Q865" s="105">
        <f>SUMIFS(Saidas[Valores],Saidas[Fornecedor],P865,Saidas[Data da Competência],"&gt;="&amp;RESUMO!$C$4,Saidas[Data da Competência],"&lt;"&amp;RESUMO!$D$5,Saidas[Centro de Custos],X!$E$14,Saidas[Status],X!$E$13)</f>
        <v>0</v>
      </c>
    </row>
    <row r="866">
      <c r="M866" s="277"/>
      <c r="N866" s="105">
        <f>SUMIFS(Entradas[Valores],Entradas[Cliente],M866,Entradas[Data da Competência],"&gt;="&amp;RESUMO!$C$4,Entradas[Data da Competência],"&lt;"&amp;RESUMO!$D$5,Entradas[Centro de Custos],X!$E$14,Entradas[Status],X!$E$13)</f>
        <v>0</v>
      </c>
      <c r="P866" s="277"/>
      <c r="Q866" s="105">
        <f>SUMIFS(Saidas[Valores],Saidas[Fornecedor],P866,Saidas[Data da Competência],"&gt;="&amp;RESUMO!$C$4,Saidas[Data da Competência],"&lt;"&amp;RESUMO!$D$5,Saidas[Centro de Custos],X!$E$14,Saidas[Status],X!$E$13)</f>
        <v>0</v>
      </c>
    </row>
    <row r="867">
      <c r="M867" s="277"/>
      <c r="N867" s="105">
        <f>SUMIFS(Entradas[Valores],Entradas[Cliente],M867,Entradas[Data da Competência],"&gt;="&amp;RESUMO!$C$4,Entradas[Data da Competência],"&lt;"&amp;RESUMO!$D$5,Entradas[Centro de Custos],X!$E$14,Entradas[Status],X!$E$13)</f>
        <v>0</v>
      </c>
      <c r="P867" s="277"/>
      <c r="Q867" s="105">
        <f>SUMIFS(Saidas[Valores],Saidas[Fornecedor],P867,Saidas[Data da Competência],"&gt;="&amp;RESUMO!$C$4,Saidas[Data da Competência],"&lt;"&amp;RESUMO!$D$5,Saidas[Centro de Custos],X!$E$14,Saidas[Status],X!$E$13)</f>
        <v>0</v>
      </c>
    </row>
    <row r="868">
      <c r="M868" s="277"/>
      <c r="N868" s="105">
        <f>SUMIFS(Entradas[Valores],Entradas[Cliente],M868,Entradas[Data da Competência],"&gt;="&amp;RESUMO!$C$4,Entradas[Data da Competência],"&lt;"&amp;RESUMO!$D$5,Entradas[Centro de Custos],X!$E$14,Entradas[Status],X!$E$13)</f>
        <v>0</v>
      </c>
      <c r="P868" s="277"/>
      <c r="Q868" s="105">
        <f>SUMIFS(Saidas[Valores],Saidas[Fornecedor],P868,Saidas[Data da Competência],"&gt;="&amp;RESUMO!$C$4,Saidas[Data da Competência],"&lt;"&amp;RESUMO!$D$5,Saidas[Centro de Custos],X!$E$14,Saidas[Status],X!$E$13)</f>
        <v>0</v>
      </c>
    </row>
    <row r="869">
      <c r="M869" s="277"/>
      <c r="N869" s="105">
        <f>SUMIFS(Entradas[Valores],Entradas[Cliente],M869,Entradas[Data da Competência],"&gt;="&amp;RESUMO!$C$4,Entradas[Data da Competência],"&lt;"&amp;RESUMO!$D$5,Entradas[Centro de Custos],X!$E$14,Entradas[Status],X!$E$13)</f>
        <v>0</v>
      </c>
      <c r="P869" s="277"/>
      <c r="Q869" s="105">
        <f>SUMIFS(Saidas[Valores],Saidas[Fornecedor],P869,Saidas[Data da Competência],"&gt;="&amp;RESUMO!$C$4,Saidas[Data da Competência],"&lt;"&amp;RESUMO!$D$5,Saidas[Centro de Custos],X!$E$14,Saidas[Status],X!$E$13)</f>
        <v>0</v>
      </c>
    </row>
    <row r="870">
      <c r="M870" s="277"/>
      <c r="N870" s="105">
        <f>SUMIFS(Entradas[Valores],Entradas[Cliente],M870,Entradas[Data da Competência],"&gt;="&amp;RESUMO!$C$4,Entradas[Data da Competência],"&lt;"&amp;RESUMO!$D$5,Entradas[Centro de Custos],X!$E$14,Entradas[Status],X!$E$13)</f>
        <v>0</v>
      </c>
      <c r="P870" s="277"/>
      <c r="Q870" s="105">
        <f>SUMIFS(Saidas[Valores],Saidas[Fornecedor],P870,Saidas[Data da Competência],"&gt;="&amp;RESUMO!$C$4,Saidas[Data da Competência],"&lt;"&amp;RESUMO!$D$5,Saidas[Centro de Custos],X!$E$14,Saidas[Status],X!$E$13)</f>
        <v>0</v>
      </c>
    </row>
    <row r="871">
      <c r="M871" s="277"/>
      <c r="N871" s="105">
        <f>SUMIFS(Entradas[Valores],Entradas[Cliente],M871,Entradas[Data da Competência],"&gt;="&amp;RESUMO!$C$4,Entradas[Data da Competência],"&lt;"&amp;RESUMO!$D$5,Entradas[Centro de Custos],X!$E$14,Entradas[Status],X!$E$13)</f>
        <v>0</v>
      </c>
      <c r="P871" s="277"/>
      <c r="Q871" s="105">
        <f>SUMIFS(Saidas[Valores],Saidas[Fornecedor],P871,Saidas[Data da Competência],"&gt;="&amp;RESUMO!$C$4,Saidas[Data da Competência],"&lt;"&amp;RESUMO!$D$5,Saidas[Centro de Custos],X!$E$14,Saidas[Status],X!$E$13)</f>
        <v>0</v>
      </c>
    </row>
    <row r="872">
      <c r="M872" s="277"/>
      <c r="N872" s="105">
        <f>SUMIFS(Entradas[Valores],Entradas[Cliente],M872,Entradas[Data da Competência],"&gt;="&amp;RESUMO!$C$4,Entradas[Data da Competência],"&lt;"&amp;RESUMO!$D$5,Entradas[Centro de Custos],X!$E$14,Entradas[Status],X!$E$13)</f>
        <v>0</v>
      </c>
      <c r="P872" s="277"/>
      <c r="Q872" s="105">
        <f>SUMIFS(Saidas[Valores],Saidas[Fornecedor],P872,Saidas[Data da Competência],"&gt;="&amp;RESUMO!$C$4,Saidas[Data da Competência],"&lt;"&amp;RESUMO!$D$5,Saidas[Centro de Custos],X!$E$14,Saidas[Status],X!$E$13)</f>
        <v>0</v>
      </c>
    </row>
    <row r="873">
      <c r="M873" s="277"/>
      <c r="N873" s="105">
        <f>SUMIFS(Entradas[Valores],Entradas[Cliente],M873,Entradas[Data da Competência],"&gt;="&amp;RESUMO!$C$4,Entradas[Data da Competência],"&lt;"&amp;RESUMO!$D$5,Entradas[Centro de Custos],X!$E$14,Entradas[Status],X!$E$13)</f>
        <v>0</v>
      </c>
      <c r="P873" s="277"/>
      <c r="Q873" s="105">
        <f>SUMIFS(Saidas[Valores],Saidas[Fornecedor],P873,Saidas[Data da Competência],"&gt;="&amp;RESUMO!$C$4,Saidas[Data da Competência],"&lt;"&amp;RESUMO!$D$5,Saidas[Centro de Custos],X!$E$14,Saidas[Status],X!$E$13)</f>
        <v>0</v>
      </c>
    </row>
    <row r="874">
      <c r="M874" s="277"/>
      <c r="N874" s="105">
        <f>SUMIFS(Entradas[Valores],Entradas[Cliente],M874,Entradas[Data da Competência],"&gt;="&amp;RESUMO!$C$4,Entradas[Data da Competência],"&lt;"&amp;RESUMO!$D$5,Entradas[Centro de Custos],X!$E$14,Entradas[Status],X!$E$13)</f>
        <v>0</v>
      </c>
      <c r="P874" s="277"/>
      <c r="Q874" s="105">
        <f>SUMIFS(Saidas[Valores],Saidas[Fornecedor],P874,Saidas[Data da Competência],"&gt;="&amp;RESUMO!$C$4,Saidas[Data da Competência],"&lt;"&amp;RESUMO!$D$5,Saidas[Centro de Custos],X!$E$14,Saidas[Status],X!$E$13)</f>
        <v>0</v>
      </c>
    </row>
    <row r="875">
      <c r="M875" s="277"/>
      <c r="N875" s="105">
        <f>SUMIFS(Entradas[Valores],Entradas[Cliente],M875,Entradas[Data da Competência],"&gt;="&amp;RESUMO!$C$4,Entradas[Data da Competência],"&lt;"&amp;RESUMO!$D$5,Entradas[Centro de Custos],X!$E$14,Entradas[Status],X!$E$13)</f>
        <v>0</v>
      </c>
      <c r="P875" s="277"/>
      <c r="Q875" s="105">
        <f>SUMIFS(Saidas[Valores],Saidas[Fornecedor],P875,Saidas[Data da Competência],"&gt;="&amp;RESUMO!$C$4,Saidas[Data da Competência],"&lt;"&amp;RESUMO!$D$5,Saidas[Centro de Custos],X!$E$14,Saidas[Status],X!$E$13)</f>
        <v>0</v>
      </c>
    </row>
    <row r="876">
      <c r="M876" s="277"/>
      <c r="N876" s="105">
        <f>SUMIFS(Entradas[Valores],Entradas[Cliente],M876,Entradas[Data da Competência],"&gt;="&amp;RESUMO!$C$4,Entradas[Data da Competência],"&lt;"&amp;RESUMO!$D$5,Entradas[Centro de Custos],X!$E$14,Entradas[Status],X!$E$13)</f>
        <v>0</v>
      </c>
      <c r="P876" s="277"/>
      <c r="Q876" s="105">
        <f>SUMIFS(Saidas[Valores],Saidas[Fornecedor],P876,Saidas[Data da Competência],"&gt;="&amp;RESUMO!$C$4,Saidas[Data da Competência],"&lt;"&amp;RESUMO!$D$5,Saidas[Centro de Custos],X!$E$14,Saidas[Status],X!$E$13)</f>
        <v>0</v>
      </c>
    </row>
    <row r="877">
      <c r="M877" s="277"/>
      <c r="N877" s="105">
        <f>SUMIFS(Entradas[Valores],Entradas[Cliente],M877,Entradas[Data da Competência],"&gt;="&amp;RESUMO!$C$4,Entradas[Data da Competência],"&lt;"&amp;RESUMO!$D$5,Entradas[Centro de Custos],X!$E$14,Entradas[Status],X!$E$13)</f>
        <v>0</v>
      </c>
      <c r="P877" s="277"/>
      <c r="Q877" s="105">
        <f>SUMIFS(Saidas[Valores],Saidas[Fornecedor],P877,Saidas[Data da Competência],"&gt;="&amp;RESUMO!$C$4,Saidas[Data da Competência],"&lt;"&amp;RESUMO!$D$5,Saidas[Centro de Custos],X!$E$14,Saidas[Status],X!$E$13)</f>
        <v>0</v>
      </c>
    </row>
    <row r="878">
      <c r="M878" s="277"/>
      <c r="N878" s="105">
        <f>SUMIFS(Entradas[Valores],Entradas[Cliente],M878,Entradas[Data da Competência],"&gt;="&amp;RESUMO!$C$4,Entradas[Data da Competência],"&lt;"&amp;RESUMO!$D$5,Entradas[Centro de Custos],X!$E$14,Entradas[Status],X!$E$13)</f>
        <v>0</v>
      </c>
      <c r="P878" s="277"/>
      <c r="Q878" s="105">
        <f>SUMIFS(Saidas[Valores],Saidas[Fornecedor],P878,Saidas[Data da Competência],"&gt;="&amp;RESUMO!$C$4,Saidas[Data da Competência],"&lt;"&amp;RESUMO!$D$5,Saidas[Centro de Custos],X!$E$14,Saidas[Status],X!$E$13)</f>
        <v>0</v>
      </c>
    </row>
    <row r="879">
      <c r="M879" s="277"/>
      <c r="N879" s="105">
        <f>SUMIFS(Entradas[Valores],Entradas[Cliente],M879,Entradas[Data da Competência],"&gt;="&amp;RESUMO!$C$4,Entradas[Data da Competência],"&lt;"&amp;RESUMO!$D$5,Entradas[Centro de Custos],X!$E$14,Entradas[Status],X!$E$13)</f>
        <v>0</v>
      </c>
      <c r="P879" s="277"/>
      <c r="Q879" s="105">
        <f>SUMIFS(Saidas[Valores],Saidas[Fornecedor],P879,Saidas[Data da Competência],"&gt;="&amp;RESUMO!$C$4,Saidas[Data da Competência],"&lt;"&amp;RESUMO!$D$5,Saidas[Centro de Custos],X!$E$14,Saidas[Status],X!$E$13)</f>
        <v>0</v>
      </c>
    </row>
    <row r="880">
      <c r="M880" s="277"/>
      <c r="N880" s="105">
        <f>SUMIFS(Entradas[Valores],Entradas[Cliente],M880,Entradas[Data da Competência],"&gt;="&amp;RESUMO!$C$4,Entradas[Data da Competência],"&lt;"&amp;RESUMO!$D$5,Entradas[Centro de Custos],X!$E$14,Entradas[Status],X!$E$13)</f>
        <v>0</v>
      </c>
      <c r="P880" s="277"/>
      <c r="Q880" s="105">
        <f>SUMIFS(Saidas[Valores],Saidas[Fornecedor],P880,Saidas[Data da Competência],"&gt;="&amp;RESUMO!$C$4,Saidas[Data da Competência],"&lt;"&amp;RESUMO!$D$5,Saidas[Centro de Custos],X!$E$14,Saidas[Status],X!$E$13)</f>
        <v>0</v>
      </c>
    </row>
    <row r="881">
      <c r="M881" s="277"/>
      <c r="N881" s="105">
        <f>SUMIFS(Entradas[Valores],Entradas[Cliente],M881,Entradas[Data da Competência],"&gt;="&amp;RESUMO!$C$4,Entradas[Data da Competência],"&lt;"&amp;RESUMO!$D$5,Entradas[Centro de Custos],X!$E$14,Entradas[Status],X!$E$13)</f>
        <v>0</v>
      </c>
      <c r="P881" s="277"/>
      <c r="Q881" s="105">
        <f>SUMIFS(Saidas[Valores],Saidas[Fornecedor],P881,Saidas[Data da Competência],"&gt;="&amp;RESUMO!$C$4,Saidas[Data da Competência],"&lt;"&amp;RESUMO!$D$5,Saidas[Centro de Custos],X!$E$14,Saidas[Status],X!$E$13)</f>
        <v>0</v>
      </c>
    </row>
    <row r="882">
      <c r="M882" s="277"/>
      <c r="N882" s="105">
        <f>SUMIFS(Entradas[Valores],Entradas[Cliente],M882,Entradas[Data da Competência],"&gt;="&amp;RESUMO!$C$4,Entradas[Data da Competência],"&lt;"&amp;RESUMO!$D$5,Entradas[Centro de Custos],X!$E$14,Entradas[Status],X!$E$13)</f>
        <v>0</v>
      </c>
      <c r="P882" s="277"/>
      <c r="Q882" s="105">
        <f>SUMIFS(Saidas[Valores],Saidas[Fornecedor],P882,Saidas[Data da Competência],"&gt;="&amp;RESUMO!$C$4,Saidas[Data da Competência],"&lt;"&amp;RESUMO!$D$5,Saidas[Centro de Custos],X!$E$14,Saidas[Status],X!$E$13)</f>
        <v>0</v>
      </c>
    </row>
    <row r="883">
      <c r="M883" s="277"/>
      <c r="N883" s="105">
        <f>SUMIFS(Entradas[Valores],Entradas[Cliente],M883,Entradas[Data da Competência],"&gt;="&amp;RESUMO!$C$4,Entradas[Data da Competência],"&lt;"&amp;RESUMO!$D$5,Entradas[Centro de Custos],X!$E$14,Entradas[Status],X!$E$13)</f>
        <v>0</v>
      </c>
      <c r="P883" s="277"/>
      <c r="Q883" s="105">
        <f>SUMIFS(Saidas[Valores],Saidas[Fornecedor],P883,Saidas[Data da Competência],"&gt;="&amp;RESUMO!$C$4,Saidas[Data da Competência],"&lt;"&amp;RESUMO!$D$5,Saidas[Centro de Custos],X!$E$14,Saidas[Status],X!$E$13)</f>
        <v>0</v>
      </c>
    </row>
    <row r="884">
      <c r="M884" s="277"/>
      <c r="N884" s="105">
        <f>SUMIFS(Entradas[Valores],Entradas[Cliente],M884,Entradas[Data da Competência],"&gt;="&amp;RESUMO!$C$4,Entradas[Data da Competência],"&lt;"&amp;RESUMO!$D$5,Entradas[Centro de Custos],X!$E$14,Entradas[Status],X!$E$13)</f>
        <v>0</v>
      </c>
      <c r="P884" s="277"/>
      <c r="Q884" s="105">
        <f>SUMIFS(Saidas[Valores],Saidas[Fornecedor],P884,Saidas[Data da Competência],"&gt;="&amp;RESUMO!$C$4,Saidas[Data da Competência],"&lt;"&amp;RESUMO!$D$5,Saidas[Centro de Custos],X!$E$14,Saidas[Status],X!$E$13)</f>
        <v>0</v>
      </c>
    </row>
    <row r="885">
      <c r="M885" s="277"/>
      <c r="N885" s="105">
        <f>SUMIFS(Entradas[Valores],Entradas[Cliente],M885,Entradas[Data da Competência],"&gt;="&amp;RESUMO!$C$4,Entradas[Data da Competência],"&lt;"&amp;RESUMO!$D$5,Entradas[Centro de Custos],X!$E$14,Entradas[Status],X!$E$13)</f>
        <v>0</v>
      </c>
      <c r="P885" s="277"/>
      <c r="Q885" s="105">
        <f>SUMIFS(Saidas[Valores],Saidas[Fornecedor],P885,Saidas[Data da Competência],"&gt;="&amp;RESUMO!$C$4,Saidas[Data da Competência],"&lt;"&amp;RESUMO!$D$5,Saidas[Centro de Custos],X!$E$14,Saidas[Status],X!$E$13)</f>
        <v>0</v>
      </c>
    </row>
    <row r="886">
      <c r="M886" s="277"/>
      <c r="N886" s="105">
        <f>SUMIFS(Entradas[Valores],Entradas[Cliente],M886,Entradas[Data da Competência],"&gt;="&amp;RESUMO!$C$4,Entradas[Data da Competência],"&lt;"&amp;RESUMO!$D$5,Entradas[Centro de Custos],X!$E$14,Entradas[Status],X!$E$13)</f>
        <v>0</v>
      </c>
      <c r="P886" s="277"/>
      <c r="Q886" s="105">
        <f>SUMIFS(Saidas[Valores],Saidas[Fornecedor],P886,Saidas[Data da Competência],"&gt;="&amp;RESUMO!$C$4,Saidas[Data da Competência],"&lt;"&amp;RESUMO!$D$5,Saidas[Centro de Custos],X!$E$14,Saidas[Status],X!$E$13)</f>
        <v>0</v>
      </c>
    </row>
    <row r="887">
      <c r="M887" s="277"/>
      <c r="N887" s="105">
        <f>SUMIFS(Entradas[Valores],Entradas[Cliente],M887,Entradas[Data da Competência],"&gt;="&amp;RESUMO!$C$4,Entradas[Data da Competência],"&lt;"&amp;RESUMO!$D$5,Entradas[Centro de Custos],X!$E$14,Entradas[Status],X!$E$13)</f>
        <v>0</v>
      </c>
      <c r="P887" s="277"/>
      <c r="Q887" s="105">
        <f>SUMIFS(Saidas[Valores],Saidas[Fornecedor],P887,Saidas[Data da Competência],"&gt;="&amp;RESUMO!$C$4,Saidas[Data da Competência],"&lt;"&amp;RESUMO!$D$5,Saidas[Centro de Custos],X!$E$14,Saidas[Status],X!$E$13)</f>
        <v>0</v>
      </c>
    </row>
    <row r="888">
      <c r="M888" s="277"/>
      <c r="N888" s="105">
        <f>SUMIFS(Entradas[Valores],Entradas[Cliente],M888,Entradas[Data da Competência],"&gt;="&amp;RESUMO!$C$4,Entradas[Data da Competência],"&lt;"&amp;RESUMO!$D$5,Entradas[Centro de Custos],X!$E$14,Entradas[Status],X!$E$13)</f>
        <v>0</v>
      </c>
      <c r="P888" s="277"/>
      <c r="Q888" s="105">
        <f>SUMIFS(Saidas[Valores],Saidas[Fornecedor],P888,Saidas[Data da Competência],"&gt;="&amp;RESUMO!$C$4,Saidas[Data da Competência],"&lt;"&amp;RESUMO!$D$5,Saidas[Centro de Custos],X!$E$14,Saidas[Status],X!$E$13)</f>
        <v>0</v>
      </c>
    </row>
    <row r="889">
      <c r="M889" s="277"/>
      <c r="N889" s="105">
        <f>SUMIFS(Entradas[Valores],Entradas[Cliente],M889,Entradas[Data da Competência],"&gt;="&amp;RESUMO!$C$4,Entradas[Data da Competência],"&lt;"&amp;RESUMO!$D$5,Entradas[Centro de Custos],X!$E$14,Entradas[Status],X!$E$13)</f>
        <v>0</v>
      </c>
      <c r="P889" s="277"/>
      <c r="Q889" s="105">
        <f>SUMIFS(Saidas[Valores],Saidas[Fornecedor],P889,Saidas[Data da Competência],"&gt;="&amp;RESUMO!$C$4,Saidas[Data da Competência],"&lt;"&amp;RESUMO!$D$5,Saidas[Centro de Custos],X!$E$14,Saidas[Status],X!$E$13)</f>
        <v>0</v>
      </c>
    </row>
    <row r="890">
      <c r="M890" s="277"/>
      <c r="N890" s="105">
        <f>SUMIFS(Entradas[Valores],Entradas[Cliente],M890,Entradas[Data da Competência],"&gt;="&amp;RESUMO!$C$4,Entradas[Data da Competência],"&lt;"&amp;RESUMO!$D$5,Entradas[Centro de Custos],X!$E$14,Entradas[Status],X!$E$13)</f>
        <v>0</v>
      </c>
      <c r="P890" s="277"/>
      <c r="Q890" s="105">
        <f>SUMIFS(Saidas[Valores],Saidas[Fornecedor],P890,Saidas[Data da Competência],"&gt;="&amp;RESUMO!$C$4,Saidas[Data da Competência],"&lt;"&amp;RESUMO!$D$5,Saidas[Centro de Custos],X!$E$14,Saidas[Status],X!$E$13)</f>
        <v>0</v>
      </c>
    </row>
    <row r="891">
      <c r="M891" s="277"/>
      <c r="N891" s="105">
        <f>SUMIFS(Entradas[Valores],Entradas[Cliente],M891,Entradas[Data da Competência],"&gt;="&amp;RESUMO!$C$4,Entradas[Data da Competência],"&lt;"&amp;RESUMO!$D$5,Entradas[Centro de Custos],X!$E$14,Entradas[Status],X!$E$13)</f>
        <v>0</v>
      </c>
      <c r="P891" s="277"/>
      <c r="Q891" s="105">
        <f>SUMIFS(Saidas[Valores],Saidas[Fornecedor],P891,Saidas[Data da Competência],"&gt;="&amp;RESUMO!$C$4,Saidas[Data da Competência],"&lt;"&amp;RESUMO!$D$5,Saidas[Centro de Custos],X!$E$14,Saidas[Status],X!$E$13)</f>
        <v>0</v>
      </c>
    </row>
    <row r="892">
      <c r="M892" s="277"/>
      <c r="N892" s="105">
        <f>SUMIFS(Entradas[Valores],Entradas[Cliente],M892,Entradas[Data da Competência],"&gt;="&amp;RESUMO!$C$4,Entradas[Data da Competência],"&lt;"&amp;RESUMO!$D$5,Entradas[Centro de Custos],X!$E$14,Entradas[Status],X!$E$13)</f>
        <v>0</v>
      </c>
      <c r="P892" s="277"/>
      <c r="Q892" s="105">
        <f>SUMIFS(Saidas[Valores],Saidas[Fornecedor],P892,Saidas[Data da Competência],"&gt;="&amp;RESUMO!$C$4,Saidas[Data da Competência],"&lt;"&amp;RESUMO!$D$5,Saidas[Centro de Custos],X!$E$14,Saidas[Status],X!$E$13)</f>
        <v>0</v>
      </c>
    </row>
    <row r="893">
      <c r="M893" s="277"/>
      <c r="N893" s="105">
        <f>SUMIFS(Entradas[Valores],Entradas[Cliente],M893,Entradas[Data da Competência],"&gt;="&amp;RESUMO!$C$4,Entradas[Data da Competência],"&lt;"&amp;RESUMO!$D$5,Entradas[Centro de Custos],X!$E$14,Entradas[Status],X!$E$13)</f>
        <v>0</v>
      </c>
      <c r="P893" s="277"/>
      <c r="Q893" s="105">
        <f>SUMIFS(Saidas[Valores],Saidas[Fornecedor],P893,Saidas[Data da Competência],"&gt;="&amp;RESUMO!$C$4,Saidas[Data da Competência],"&lt;"&amp;RESUMO!$D$5,Saidas[Centro de Custos],X!$E$14,Saidas[Status],X!$E$13)</f>
        <v>0</v>
      </c>
    </row>
    <row r="894">
      <c r="M894" s="277"/>
      <c r="N894" s="105">
        <f>SUMIFS(Entradas[Valores],Entradas[Cliente],M894,Entradas[Data da Competência],"&gt;="&amp;RESUMO!$C$4,Entradas[Data da Competência],"&lt;"&amp;RESUMO!$D$5,Entradas[Centro de Custos],X!$E$14,Entradas[Status],X!$E$13)</f>
        <v>0</v>
      </c>
      <c r="P894" s="277"/>
      <c r="Q894" s="105">
        <f>SUMIFS(Saidas[Valores],Saidas[Fornecedor],P894,Saidas[Data da Competência],"&gt;="&amp;RESUMO!$C$4,Saidas[Data da Competência],"&lt;"&amp;RESUMO!$D$5,Saidas[Centro de Custos],X!$E$14,Saidas[Status],X!$E$13)</f>
        <v>0</v>
      </c>
    </row>
    <row r="895">
      <c r="M895" s="277"/>
      <c r="N895" s="105">
        <f>SUMIFS(Entradas[Valores],Entradas[Cliente],M895,Entradas[Data da Competência],"&gt;="&amp;RESUMO!$C$4,Entradas[Data da Competência],"&lt;"&amp;RESUMO!$D$5,Entradas[Centro de Custos],X!$E$14,Entradas[Status],X!$E$13)</f>
        <v>0</v>
      </c>
      <c r="P895" s="277"/>
      <c r="Q895" s="105">
        <f>SUMIFS(Saidas[Valores],Saidas[Fornecedor],P895,Saidas[Data da Competência],"&gt;="&amp;RESUMO!$C$4,Saidas[Data da Competência],"&lt;"&amp;RESUMO!$D$5,Saidas[Centro de Custos],X!$E$14,Saidas[Status],X!$E$13)</f>
        <v>0</v>
      </c>
    </row>
    <row r="896">
      <c r="M896" s="277"/>
      <c r="N896" s="105">
        <f>SUMIFS(Entradas[Valores],Entradas[Cliente],M896,Entradas[Data da Competência],"&gt;="&amp;RESUMO!$C$4,Entradas[Data da Competência],"&lt;"&amp;RESUMO!$D$5,Entradas[Centro de Custos],X!$E$14,Entradas[Status],X!$E$13)</f>
        <v>0</v>
      </c>
      <c r="P896" s="277"/>
      <c r="Q896" s="105">
        <f>SUMIFS(Saidas[Valores],Saidas[Fornecedor],P896,Saidas[Data da Competência],"&gt;="&amp;RESUMO!$C$4,Saidas[Data da Competência],"&lt;"&amp;RESUMO!$D$5,Saidas[Centro de Custos],X!$E$14,Saidas[Status],X!$E$13)</f>
        <v>0</v>
      </c>
    </row>
    <row r="897">
      <c r="M897" s="277"/>
      <c r="N897" s="105">
        <f>SUMIFS(Entradas[Valores],Entradas[Cliente],M897,Entradas[Data da Competência],"&gt;="&amp;RESUMO!$C$4,Entradas[Data da Competência],"&lt;"&amp;RESUMO!$D$5,Entradas[Centro de Custos],X!$E$14,Entradas[Status],X!$E$13)</f>
        <v>0</v>
      </c>
      <c r="P897" s="277"/>
      <c r="Q897" s="105">
        <f>SUMIFS(Saidas[Valores],Saidas[Fornecedor],P897,Saidas[Data da Competência],"&gt;="&amp;RESUMO!$C$4,Saidas[Data da Competência],"&lt;"&amp;RESUMO!$D$5,Saidas[Centro de Custos],X!$E$14,Saidas[Status],X!$E$13)</f>
        <v>0</v>
      </c>
    </row>
    <row r="898">
      <c r="M898" s="277"/>
      <c r="N898" s="105">
        <f>SUMIFS(Entradas[Valores],Entradas[Cliente],M898,Entradas[Data da Competência],"&gt;="&amp;RESUMO!$C$4,Entradas[Data da Competência],"&lt;"&amp;RESUMO!$D$5,Entradas[Centro de Custos],X!$E$14,Entradas[Status],X!$E$13)</f>
        <v>0</v>
      </c>
      <c r="P898" s="277"/>
      <c r="Q898" s="105">
        <f>SUMIFS(Saidas[Valores],Saidas[Fornecedor],P898,Saidas[Data da Competência],"&gt;="&amp;RESUMO!$C$4,Saidas[Data da Competência],"&lt;"&amp;RESUMO!$D$5,Saidas[Centro de Custos],X!$E$14,Saidas[Status],X!$E$13)</f>
        <v>0</v>
      </c>
    </row>
    <row r="899">
      <c r="M899" s="277"/>
      <c r="N899" s="105">
        <f>SUMIFS(Entradas[Valores],Entradas[Cliente],M899,Entradas[Data da Competência],"&gt;="&amp;RESUMO!$C$4,Entradas[Data da Competência],"&lt;"&amp;RESUMO!$D$5,Entradas[Centro de Custos],X!$E$14,Entradas[Status],X!$E$13)</f>
        <v>0</v>
      </c>
      <c r="P899" s="277"/>
      <c r="Q899" s="105">
        <f>SUMIFS(Saidas[Valores],Saidas[Fornecedor],P899,Saidas[Data da Competência],"&gt;="&amp;RESUMO!$C$4,Saidas[Data da Competência],"&lt;"&amp;RESUMO!$D$5,Saidas[Centro de Custos],X!$E$14,Saidas[Status],X!$E$13)</f>
        <v>0</v>
      </c>
    </row>
    <row r="900">
      <c r="M900" s="277"/>
      <c r="N900" s="105">
        <f>SUMIFS(Entradas[Valores],Entradas[Cliente],M900,Entradas[Data da Competência],"&gt;="&amp;RESUMO!$C$4,Entradas[Data da Competência],"&lt;"&amp;RESUMO!$D$5,Entradas[Centro de Custos],X!$E$14,Entradas[Status],X!$E$13)</f>
        <v>0</v>
      </c>
      <c r="P900" s="277"/>
      <c r="Q900" s="105">
        <f>SUMIFS(Saidas[Valores],Saidas[Fornecedor],P900,Saidas[Data da Competência],"&gt;="&amp;RESUMO!$C$4,Saidas[Data da Competência],"&lt;"&amp;RESUMO!$D$5,Saidas[Centro de Custos],X!$E$14,Saidas[Status],X!$E$13)</f>
        <v>0</v>
      </c>
    </row>
    <row r="901">
      <c r="M901" s="277"/>
      <c r="N901" s="105">
        <f>SUMIFS(Entradas[Valores],Entradas[Cliente],M901,Entradas[Data da Competência],"&gt;="&amp;RESUMO!$C$4,Entradas[Data da Competência],"&lt;"&amp;RESUMO!$D$5,Entradas[Centro de Custos],X!$E$14,Entradas[Status],X!$E$13)</f>
        <v>0</v>
      </c>
      <c r="P901" s="277"/>
      <c r="Q901" s="105">
        <f>SUMIFS(Saidas[Valores],Saidas[Fornecedor],P901,Saidas[Data da Competência],"&gt;="&amp;RESUMO!$C$4,Saidas[Data da Competência],"&lt;"&amp;RESUMO!$D$5,Saidas[Centro de Custos],X!$E$14,Saidas[Status],X!$E$13)</f>
        <v>0</v>
      </c>
    </row>
    <row r="902">
      <c r="M902" s="277"/>
      <c r="N902" s="105">
        <f>SUMIFS(Entradas[Valores],Entradas[Cliente],M902,Entradas[Data da Competência],"&gt;="&amp;RESUMO!$C$4,Entradas[Data da Competência],"&lt;"&amp;RESUMO!$D$5,Entradas[Centro de Custos],X!$E$14,Entradas[Status],X!$E$13)</f>
        <v>0</v>
      </c>
      <c r="P902" s="277"/>
      <c r="Q902" s="105">
        <f>SUMIFS(Saidas[Valores],Saidas[Fornecedor],P902,Saidas[Data da Competência],"&gt;="&amp;RESUMO!$C$4,Saidas[Data da Competência],"&lt;"&amp;RESUMO!$D$5,Saidas[Centro de Custos],X!$E$14,Saidas[Status],X!$E$13)</f>
        <v>0</v>
      </c>
    </row>
    <row r="903">
      <c r="M903" s="277"/>
      <c r="N903" s="105">
        <f>SUMIFS(Entradas[Valores],Entradas[Cliente],M903,Entradas[Data da Competência],"&gt;="&amp;RESUMO!$C$4,Entradas[Data da Competência],"&lt;"&amp;RESUMO!$D$5,Entradas[Centro de Custos],X!$E$14,Entradas[Status],X!$E$13)</f>
        <v>0</v>
      </c>
      <c r="P903" s="277"/>
      <c r="Q903" s="105">
        <f>SUMIFS(Saidas[Valores],Saidas[Fornecedor],P903,Saidas[Data da Competência],"&gt;="&amp;RESUMO!$C$4,Saidas[Data da Competência],"&lt;"&amp;RESUMO!$D$5,Saidas[Centro de Custos],X!$E$14,Saidas[Status],X!$E$13)</f>
        <v>0</v>
      </c>
    </row>
    <row r="904">
      <c r="M904" s="277"/>
      <c r="N904" s="105">
        <f>SUMIFS(Entradas[Valores],Entradas[Cliente],M904,Entradas[Data da Competência],"&gt;="&amp;RESUMO!$C$4,Entradas[Data da Competência],"&lt;"&amp;RESUMO!$D$5,Entradas[Centro de Custos],X!$E$14,Entradas[Status],X!$E$13)</f>
        <v>0</v>
      </c>
      <c r="P904" s="277"/>
      <c r="Q904" s="105">
        <f>SUMIFS(Saidas[Valores],Saidas[Fornecedor],P904,Saidas[Data da Competência],"&gt;="&amp;RESUMO!$C$4,Saidas[Data da Competência],"&lt;"&amp;RESUMO!$D$5,Saidas[Centro de Custos],X!$E$14,Saidas[Status],X!$E$13)</f>
        <v>0</v>
      </c>
    </row>
    <row r="905">
      <c r="M905" s="277"/>
      <c r="N905" s="105">
        <f>SUMIFS(Entradas[Valores],Entradas[Cliente],M905,Entradas[Data da Competência],"&gt;="&amp;RESUMO!$C$4,Entradas[Data da Competência],"&lt;"&amp;RESUMO!$D$5,Entradas[Centro de Custos],X!$E$14,Entradas[Status],X!$E$13)</f>
        <v>0</v>
      </c>
      <c r="P905" s="277"/>
      <c r="Q905" s="105">
        <f>SUMIFS(Saidas[Valores],Saidas[Fornecedor],P905,Saidas[Data da Competência],"&gt;="&amp;RESUMO!$C$4,Saidas[Data da Competência],"&lt;"&amp;RESUMO!$D$5,Saidas[Centro de Custos],X!$E$14,Saidas[Status],X!$E$13)</f>
        <v>0</v>
      </c>
    </row>
    <row r="906">
      <c r="M906" s="277"/>
      <c r="N906" s="105">
        <f>SUMIFS(Entradas[Valores],Entradas[Cliente],M906,Entradas[Data da Competência],"&gt;="&amp;RESUMO!$C$4,Entradas[Data da Competência],"&lt;"&amp;RESUMO!$D$5,Entradas[Centro de Custos],X!$E$14,Entradas[Status],X!$E$13)</f>
        <v>0</v>
      </c>
      <c r="P906" s="277"/>
      <c r="Q906" s="105">
        <f>SUMIFS(Saidas[Valores],Saidas[Fornecedor],P906,Saidas[Data da Competência],"&gt;="&amp;RESUMO!$C$4,Saidas[Data da Competência],"&lt;"&amp;RESUMO!$D$5,Saidas[Centro de Custos],X!$E$14,Saidas[Status],X!$E$13)</f>
        <v>0</v>
      </c>
    </row>
    <row r="907">
      <c r="M907" s="277"/>
      <c r="N907" s="105">
        <f>SUMIFS(Entradas[Valores],Entradas[Cliente],M907,Entradas[Data da Competência],"&gt;="&amp;RESUMO!$C$4,Entradas[Data da Competência],"&lt;"&amp;RESUMO!$D$5,Entradas[Centro de Custos],X!$E$14,Entradas[Status],X!$E$13)</f>
        <v>0</v>
      </c>
      <c r="P907" s="277"/>
      <c r="Q907" s="105">
        <f>SUMIFS(Saidas[Valores],Saidas[Fornecedor],P907,Saidas[Data da Competência],"&gt;="&amp;RESUMO!$C$4,Saidas[Data da Competência],"&lt;"&amp;RESUMO!$D$5,Saidas[Centro de Custos],X!$E$14,Saidas[Status],X!$E$13)</f>
        <v>0</v>
      </c>
    </row>
    <row r="908">
      <c r="M908" s="277"/>
      <c r="N908" s="105">
        <f>SUMIFS(Entradas[Valores],Entradas[Cliente],M908,Entradas[Data da Competência],"&gt;="&amp;RESUMO!$C$4,Entradas[Data da Competência],"&lt;"&amp;RESUMO!$D$5,Entradas[Centro de Custos],X!$E$14,Entradas[Status],X!$E$13)</f>
        <v>0</v>
      </c>
      <c r="P908" s="277"/>
      <c r="Q908" s="105">
        <f>SUMIFS(Saidas[Valores],Saidas[Fornecedor],P908,Saidas[Data da Competência],"&gt;="&amp;RESUMO!$C$4,Saidas[Data da Competência],"&lt;"&amp;RESUMO!$D$5,Saidas[Centro de Custos],X!$E$14,Saidas[Status],X!$E$13)</f>
        <v>0</v>
      </c>
    </row>
    <row r="909">
      <c r="M909" s="277"/>
      <c r="N909" s="105">
        <f>SUMIFS(Entradas[Valores],Entradas[Cliente],M909,Entradas[Data da Competência],"&gt;="&amp;RESUMO!$C$4,Entradas[Data da Competência],"&lt;"&amp;RESUMO!$D$5,Entradas[Centro de Custos],X!$E$14,Entradas[Status],X!$E$13)</f>
        <v>0</v>
      </c>
      <c r="P909" s="277"/>
      <c r="Q909" s="105">
        <f>SUMIFS(Saidas[Valores],Saidas[Fornecedor],P909,Saidas[Data da Competência],"&gt;="&amp;RESUMO!$C$4,Saidas[Data da Competência],"&lt;"&amp;RESUMO!$D$5,Saidas[Centro de Custos],X!$E$14,Saidas[Status],X!$E$13)</f>
        <v>0</v>
      </c>
    </row>
    <row r="910">
      <c r="M910" s="277"/>
      <c r="N910" s="105">
        <f>SUMIFS(Entradas[Valores],Entradas[Cliente],M910,Entradas[Data da Competência],"&gt;="&amp;RESUMO!$C$4,Entradas[Data da Competência],"&lt;"&amp;RESUMO!$D$5,Entradas[Centro de Custos],X!$E$14,Entradas[Status],X!$E$13)</f>
        <v>0</v>
      </c>
      <c r="P910" s="277"/>
      <c r="Q910" s="105">
        <f>SUMIFS(Saidas[Valores],Saidas[Fornecedor],P910,Saidas[Data da Competência],"&gt;="&amp;RESUMO!$C$4,Saidas[Data da Competência],"&lt;"&amp;RESUMO!$D$5,Saidas[Centro de Custos],X!$E$14,Saidas[Status],X!$E$13)</f>
        <v>0</v>
      </c>
    </row>
    <row r="911">
      <c r="M911" s="277"/>
      <c r="N911" s="105">
        <f>SUMIFS(Entradas[Valores],Entradas[Cliente],M911,Entradas[Data da Competência],"&gt;="&amp;RESUMO!$C$4,Entradas[Data da Competência],"&lt;"&amp;RESUMO!$D$5,Entradas[Centro de Custos],X!$E$14,Entradas[Status],X!$E$13)</f>
        <v>0</v>
      </c>
      <c r="P911" s="277"/>
      <c r="Q911" s="105">
        <f>SUMIFS(Saidas[Valores],Saidas[Fornecedor],P911,Saidas[Data da Competência],"&gt;="&amp;RESUMO!$C$4,Saidas[Data da Competência],"&lt;"&amp;RESUMO!$D$5,Saidas[Centro de Custos],X!$E$14,Saidas[Status],X!$E$13)</f>
        <v>0</v>
      </c>
    </row>
    <row r="912">
      <c r="M912" s="277"/>
      <c r="N912" s="105">
        <f>SUMIFS(Entradas[Valores],Entradas[Cliente],M912,Entradas[Data da Competência],"&gt;="&amp;RESUMO!$C$4,Entradas[Data da Competência],"&lt;"&amp;RESUMO!$D$5,Entradas[Centro de Custos],X!$E$14,Entradas[Status],X!$E$13)</f>
        <v>0</v>
      </c>
      <c r="P912" s="277"/>
      <c r="Q912" s="105">
        <f>SUMIFS(Saidas[Valores],Saidas[Fornecedor],P912,Saidas[Data da Competência],"&gt;="&amp;RESUMO!$C$4,Saidas[Data da Competência],"&lt;"&amp;RESUMO!$D$5,Saidas[Centro de Custos],X!$E$14,Saidas[Status],X!$E$13)</f>
        <v>0</v>
      </c>
    </row>
    <row r="913">
      <c r="M913" s="277"/>
      <c r="N913" s="105">
        <f>SUMIFS(Entradas[Valores],Entradas[Cliente],M913,Entradas[Data da Competência],"&gt;="&amp;RESUMO!$C$4,Entradas[Data da Competência],"&lt;"&amp;RESUMO!$D$5,Entradas[Centro de Custos],X!$E$14,Entradas[Status],X!$E$13)</f>
        <v>0</v>
      </c>
      <c r="P913" s="277"/>
      <c r="Q913" s="105">
        <f>SUMIFS(Saidas[Valores],Saidas[Fornecedor],P913,Saidas[Data da Competência],"&gt;="&amp;RESUMO!$C$4,Saidas[Data da Competência],"&lt;"&amp;RESUMO!$D$5,Saidas[Centro de Custos],X!$E$14,Saidas[Status],X!$E$13)</f>
        <v>0</v>
      </c>
    </row>
    <row r="914">
      <c r="M914" s="277"/>
      <c r="N914" s="105">
        <f>SUMIFS(Entradas[Valores],Entradas[Cliente],M914,Entradas[Data da Competência],"&gt;="&amp;RESUMO!$C$4,Entradas[Data da Competência],"&lt;"&amp;RESUMO!$D$5,Entradas[Centro de Custos],X!$E$14,Entradas[Status],X!$E$13)</f>
        <v>0</v>
      </c>
      <c r="P914" s="277"/>
      <c r="Q914" s="105">
        <f>SUMIFS(Saidas[Valores],Saidas[Fornecedor],P914,Saidas[Data da Competência],"&gt;="&amp;RESUMO!$C$4,Saidas[Data da Competência],"&lt;"&amp;RESUMO!$D$5,Saidas[Centro de Custos],X!$E$14,Saidas[Status],X!$E$13)</f>
        <v>0</v>
      </c>
    </row>
    <row r="915">
      <c r="M915" s="277"/>
      <c r="N915" s="105">
        <f>SUMIFS(Entradas[Valores],Entradas[Cliente],M915,Entradas[Data da Competência],"&gt;="&amp;RESUMO!$C$4,Entradas[Data da Competência],"&lt;"&amp;RESUMO!$D$5,Entradas[Centro de Custos],X!$E$14,Entradas[Status],X!$E$13)</f>
        <v>0</v>
      </c>
      <c r="P915" s="277"/>
      <c r="Q915" s="105">
        <f>SUMIFS(Saidas[Valores],Saidas[Fornecedor],P915,Saidas[Data da Competência],"&gt;="&amp;RESUMO!$C$4,Saidas[Data da Competência],"&lt;"&amp;RESUMO!$D$5,Saidas[Centro de Custos],X!$E$14,Saidas[Status],X!$E$13)</f>
        <v>0</v>
      </c>
    </row>
    <row r="916">
      <c r="M916" s="277"/>
      <c r="N916" s="105">
        <f>SUMIFS(Entradas[Valores],Entradas[Cliente],M916,Entradas[Data da Competência],"&gt;="&amp;RESUMO!$C$4,Entradas[Data da Competência],"&lt;"&amp;RESUMO!$D$5,Entradas[Centro de Custos],X!$E$14,Entradas[Status],X!$E$13)</f>
        <v>0</v>
      </c>
      <c r="P916" s="277"/>
      <c r="Q916" s="105">
        <f>SUMIFS(Saidas[Valores],Saidas[Fornecedor],P916,Saidas[Data da Competência],"&gt;="&amp;RESUMO!$C$4,Saidas[Data da Competência],"&lt;"&amp;RESUMO!$D$5,Saidas[Centro de Custos],X!$E$14,Saidas[Status],X!$E$13)</f>
        <v>0</v>
      </c>
    </row>
    <row r="917">
      <c r="M917" s="277"/>
      <c r="N917" s="105">
        <f>SUMIFS(Entradas[Valores],Entradas[Cliente],M917,Entradas[Data da Competência],"&gt;="&amp;RESUMO!$C$4,Entradas[Data da Competência],"&lt;"&amp;RESUMO!$D$5,Entradas[Centro de Custos],X!$E$14,Entradas[Status],X!$E$13)</f>
        <v>0</v>
      </c>
      <c r="P917" s="277"/>
      <c r="Q917" s="105">
        <f>SUMIFS(Saidas[Valores],Saidas[Fornecedor],P917,Saidas[Data da Competência],"&gt;="&amp;RESUMO!$C$4,Saidas[Data da Competência],"&lt;"&amp;RESUMO!$D$5,Saidas[Centro de Custos],X!$E$14,Saidas[Status],X!$E$13)</f>
        <v>0</v>
      </c>
    </row>
    <row r="918">
      <c r="M918" s="277"/>
      <c r="N918" s="105">
        <f>SUMIFS(Entradas[Valores],Entradas[Cliente],M918,Entradas[Data da Competência],"&gt;="&amp;RESUMO!$C$4,Entradas[Data da Competência],"&lt;"&amp;RESUMO!$D$5,Entradas[Centro de Custos],X!$E$14,Entradas[Status],X!$E$13)</f>
        <v>0</v>
      </c>
      <c r="P918" s="277"/>
      <c r="Q918" s="105">
        <f>SUMIFS(Saidas[Valores],Saidas[Fornecedor],P918,Saidas[Data da Competência],"&gt;="&amp;RESUMO!$C$4,Saidas[Data da Competência],"&lt;"&amp;RESUMO!$D$5,Saidas[Centro de Custos],X!$E$14,Saidas[Status],X!$E$13)</f>
        <v>0</v>
      </c>
    </row>
    <row r="919">
      <c r="M919" s="277"/>
      <c r="N919" s="105">
        <f>SUMIFS(Entradas[Valores],Entradas[Cliente],M919,Entradas[Data da Competência],"&gt;="&amp;RESUMO!$C$4,Entradas[Data da Competência],"&lt;"&amp;RESUMO!$D$5,Entradas[Centro de Custos],X!$E$14,Entradas[Status],X!$E$13)</f>
        <v>0</v>
      </c>
      <c r="P919" s="277"/>
      <c r="Q919" s="105">
        <f>SUMIFS(Saidas[Valores],Saidas[Fornecedor],P919,Saidas[Data da Competência],"&gt;="&amp;RESUMO!$C$4,Saidas[Data da Competência],"&lt;"&amp;RESUMO!$D$5,Saidas[Centro de Custos],X!$E$14,Saidas[Status],X!$E$13)</f>
        <v>0</v>
      </c>
    </row>
    <row r="920">
      <c r="M920" s="277"/>
      <c r="N920" s="105">
        <f>SUMIFS(Entradas[Valores],Entradas[Cliente],M920,Entradas[Data da Competência],"&gt;="&amp;RESUMO!$C$4,Entradas[Data da Competência],"&lt;"&amp;RESUMO!$D$5,Entradas[Centro de Custos],X!$E$14,Entradas[Status],X!$E$13)</f>
        <v>0</v>
      </c>
      <c r="P920" s="277"/>
      <c r="Q920" s="105">
        <f>SUMIFS(Saidas[Valores],Saidas[Fornecedor],P920,Saidas[Data da Competência],"&gt;="&amp;RESUMO!$C$4,Saidas[Data da Competência],"&lt;"&amp;RESUMO!$D$5,Saidas[Centro de Custos],X!$E$14,Saidas[Status],X!$E$13)</f>
        <v>0</v>
      </c>
    </row>
    <row r="921">
      <c r="M921" s="277"/>
      <c r="N921" s="105">
        <f>SUMIFS(Entradas[Valores],Entradas[Cliente],M921,Entradas[Data da Competência],"&gt;="&amp;RESUMO!$C$4,Entradas[Data da Competência],"&lt;"&amp;RESUMO!$D$5,Entradas[Centro de Custos],X!$E$14,Entradas[Status],X!$E$13)</f>
        <v>0</v>
      </c>
      <c r="P921" s="277"/>
      <c r="Q921" s="105">
        <f>SUMIFS(Saidas[Valores],Saidas[Fornecedor],P921,Saidas[Data da Competência],"&gt;="&amp;RESUMO!$C$4,Saidas[Data da Competência],"&lt;"&amp;RESUMO!$D$5,Saidas[Centro de Custos],X!$E$14,Saidas[Status],X!$E$13)</f>
        <v>0</v>
      </c>
    </row>
    <row r="922">
      <c r="M922" s="277"/>
      <c r="N922" s="105">
        <f>SUMIFS(Entradas[Valores],Entradas[Cliente],M922,Entradas[Data da Competência],"&gt;="&amp;RESUMO!$C$4,Entradas[Data da Competência],"&lt;"&amp;RESUMO!$D$5,Entradas[Centro de Custos],X!$E$14,Entradas[Status],X!$E$13)</f>
        <v>0</v>
      </c>
      <c r="P922" s="277"/>
      <c r="Q922" s="105">
        <f>SUMIFS(Saidas[Valores],Saidas[Fornecedor],P922,Saidas[Data da Competência],"&gt;="&amp;RESUMO!$C$4,Saidas[Data da Competência],"&lt;"&amp;RESUMO!$D$5,Saidas[Centro de Custos],X!$E$14,Saidas[Status],X!$E$13)</f>
        <v>0</v>
      </c>
    </row>
    <row r="923">
      <c r="M923" s="277"/>
      <c r="N923" s="105">
        <f>SUMIFS(Entradas[Valores],Entradas[Cliente],M923,Entradas[Data da Competência],"&gt;="&amp;RESUMO!$C$4,Entradas[Data da Competência],"&lt;"&amp;RESUMO!$D$5,Entradas[Centro de Custos],X!$E$14,Entradas[Status],X!$E$13)</f>
        <v>0</v>
      </c>
      <c r="P923" s="277"/>
      <c r="Q923" s="105">
        <f>SUMIFS(Saidas[Valores],Saidas[Fornecedor],P923,Saidas[Data da Competência],"&gt;="&amp;RESUMO!$C$4,Saidas[Data da Competência],"&lt;"&amp;RESUMO!$D$5,Saidas[Centro de Custos],X!$E$14,Saidas[Status],X!$E$13)</f>
        <v>0</v>
      </c>
    </row>
    <row r="924">
      <c r="M924" s="277"/>
      <c r="N924" s="105">
        <f>SUMIFS(Entradas[Valores],Entradas[Cliente],M924,Entradas[Data da Competência],"&gt;="&amp;RESUMO!$C$4,Entradas[Data da Competência],"&lt;"&amp;RESUMO!$D$5,Entradas[Centro de Custos],X!$E$14,Entradas[Status],X!$E$13)</f>
        <v>0</v>
      </c>
      <c r="P924" s="277"/>
      <c r="Q924" s="105">
        <f>SUMIFS(Saidas[Valores],Saidas[Fornecedor],P924,Saidas[Data da Competência],"&gt;="&amp;RESUMO!$C$4,Saidas[Data da Competência],"&lt;"&amp;RESUMO!$D$5,Saidas[Centro de Custos],X!$E$14,Saidas[Status],X!$E$13)</f>
        <v>0</v>
      </c>
    </row>
    <row r="925">
      <c r="M925" s="277"/>
      <c r="N925" s="105">
        <f>SUMIFS(Entradas[Valores],Entradas[Cliente],M925,Entradas[Data da Competência],"&gt;="&amp;RESUMO!$C$4,Entradas[Data da Competência],"&lt;"&amp;RESUMO!$D$5,Entradas[Centro de Custos],X!$E$14,Entradas[Status],X!$E$13)</f>
        <v>0</v>
      </c>
      <c r="P925" s="277"/>
      <c r="Q925" s="105">
        <f>SUMIFS(Saidas[Valores],Saidas[Fornecedor],P925,Saidas[Data da Competência],"&gt;="&amp;RESUMO!$C$4,Saidas[Data da Competência],"&lt;"&amp;RESUMO!$D$5,Saidas[Centro de Custos],X!$E$14,Saidas[Status],X!$E$13)</f>
        <v>0</v>
      </c>
    </row>
    <row r="926">
      <c r="M926" s="277"/>
      <c r="N926" s="105">
        <f>SUMIFS(Entradas[Valores],Entradas[Cliente],M926,Entradas[Data da Competência],"&gt;="&amp;RESUMO!$C$4,Entradas[Data da Competência],"&lt;"&amp;RESUMO!$D$5,Entradas[Centro de Custos],X!$E$14,Entradas[Status],X!$E$13)</f>
        <v>0</v>
      </c>
      <c r="P926" s="277"/>
      <c r="Q926" s="105">
        <f>SUMIFS(Saidas[Valores],Saidas[Fornecedor],P926,Saidas[Data da Competência],"&gt;="&amp;RESUMO!$C$4,Saidas[Data da Competência],"&lt;"&amp;RESUMO!$D$5,Saidas[Centro de Custos],X!$E$14,Saidas[Status],X!$E$13)</f>
        <v>0</v>
      </c>
    </row>
    <row r="927">
      <c r="M927" s="277"/>
      <c r="N927" s="105">
        <f>SUMIFS(Entradas[Valores],Entradas[Cliente],M927,Entradas[Data da Competência],"&gt;="&amp;RESUMO!$C$4,Entradas[Data da Competência],"&lt;"&amp;RESUMO!$D$5,Entradas[Centro de Custos],X!$E$14,Entradas[Status],X!$E$13)</f>
        <v>0</v>
      </c>
      <c r="P927" s="277"/>
      <c r="Q927" s="105">
        <f>SUMIFS(Saidas[Valores],Saidas[Fornecedor],P927,Saidas[Data da Competência],"&gt;="&amp;RESUMO!$C$4,Saidas[Data da Competência],"&lt;"&amp;RESUMO!$D$5,Saidas[Centro de Custos],X!$E$14,Saidas[Status],X!$E$13)</f>
        <v>0</v>
      </c>
    </row>
    <row r="928">
      <c r="M928" s="277"/>
      <c r="N928" s="105">
        <f>SUMIFS(Entradas[Valores],Entradas[Cliente],M928,Entradas[Data da Competência],"&gt;="&amp;RESUMO!$C$4,Entradas[Data da Competência],"&lt;"&amp;RESUMO!$D$5,Entradas[Centro de Custos],X!$E$14,Entradas[Status],X!$E$13)</f>
        <v>0</v>
      </c>
      <c r="P928" s="277"/>
      <c r="Q928" s="105">
        <f>SUMIFS(Saidas[Valores],Saidas[Fornecedor],P928,Saidas[Data da Competência],"&gt;="&amp;RESUMO!$C$4,Saidas[Data da Competência],"&lt;"&amp;RESUMO!$D$5,Saidas[Centro de Custos],X!$E$14,Saidas[Status],X!$E$13)</f>
        <v>0</v>
      </c>
    </row>
    <row r="929">
      <c r="M929" s="277"/>
      <c r="N929" s="105">
        <f>SUMIFS(Entradas[Valores],Entradas[Cliente],M929,Entradas[Data da Competência],"&gt;="&amp;RESUMO!$C$4,Entradas[Data da Competência],"&lt;"&amp;RESUMO!$D$5,Entradas[Centro de Custos],X!$E$14,Entradas[Status],X!$E$13)</f>
        <v>0</v>
      </c>
      <c r="P929" s="277"/>
      <c r="Q929" s="105">
        <f>SUMIFS(Saidas[Valores],Saidas[Fornecedor],P929,Saidas[Data da Competência],"&gt;="&amp;RESUMO!$C$4,Saidas[Data da Competência],"&lt;"&amp;RESUMO!$D$5,Saidas[Centro de Custos],X!$E$14,Saidas[Status],X!$E$13)</f>
        <v>0</v>
      </c>
    </row>
    <row r="930">
      <c r="M930" s="277"/>
      <c r="N930" s="105">
        <f>SUMIFS(Entradas[Valores],Entradas[Cliente],M930,Entradas[Data da Competência],"&gt;="&amp;RESUMO!$C$4,Entradas[Data da Competência],"&lt;"&amp;RESUMO!$D$5,Entradas[Centro de Custos],X!$E$14,Entradas[Status],X!$E$13)</f>
        <v>0</v>
      </c>
      <c r="P930" s="277"/>
      <c r="Q930" s="105">
        <f>SUMIFS(Saidas[Valores],Saidas[Fornecedor],P930,Saidas[Data da Competência],"&gt;="&amp;RESUMO!$C$4,Saidas[Data da Competência],"&lt;"&amp;RESUMO!$D$5,Saidas[Centro de Custos],X!$E$14,Saidas[Status],X!$E$13)</f>
        <v>0</v>
      </c>
    </row>
    <row r="931">
      <c r="M931" s="277"/>
      <c r="N931" s="105">
        <f>SUMIFS(Entradas[Valores],Entradas[Cliente],M931,Entradas[Data da Competência],"&gt;="&amp;RESUMO!$C$4,Entradas[Data da Competência],"&lt;"&amp;RESUMO!$D$5,Entradas[Centro de Custos],X!$E$14,Entradas[Status],X!$E$13)</f>
        <v>0</v>
      </c>
      <c r="P931" s="277"/>
      <c r="Q931" s="105">
        <f>SUMIFS(Saidas[Valores],Saidas[Fornecedor],P931,Saidas[Data da Competência],"&gt;="&amp;RESUMO!$C$4,Saidas[Data da Competência],"&lt;"&amp;RESUMO!$D$5,Saidas[Centro de Custos],X!$E$14,Saidas[Status],X!$E$13)</f>
        <v>0</v>
      </c>
    </row>
    <row r="932">
      <c r="M932" s="277"/>
      <c r="N932" s="105">
        <f>SUMIFS(Entradas[Valores],Entradas[Cliente],M932,Entradas[Data da Competência],"&gt;="&amp;RESUMO!$C$4,Entradas[Data da Competência],"&lt;"&amp;RESUMO!$D$5,Entradas[Centro de Custos],X!$E$14,Entradas[Status],X!$E$13)</f>
        <v>0</v>
      </c>
      <c r="P932" s="277"/>
      <c r="Q932" s="105">
        <f>SUMIFS(Saidas[Valores],Saidas[Fornecedor],P932,Saidas[Data da Competência],"&gt;="&amp;RESUMO!$C$4,Saidas[Data da Competência],"&lt;"&amp;RESUMO!$D$5,Saidas[Centro de Custos],X!$E$14,Saidas[Status],X!$E$13)</f>
        <v>0</v>
      </c>
    </row>
    <row r="933">
      <c r="M933" s="277"/>
      <c r="N933" s="105">
        <f>SUMIFS(Entradas[Valores],Entradas[Cliente],M933,Entradas[Data da Competência],"&gt;="&amp;RESUMO!$C$4,Entradas[Data da Competência],"&lt;"&amp;RESUMO!$D$5,Entradas[Centro de Custos],X!$E$14,Entradas[Status],X!$E$13)</f>
        <v>0</v>
      </c>
      <c r="P933" s="277"/>
      <c r="Q933" s="105">
        <f>SUMIFS(Saidas[Valores],Saidas[Fornecedor],P933,Saidas[Data da Competência],"&gt;="&amp;RESUMO!$C$4,Saidas[Data da Competência],"&lt;"&amp;RESUMO!$D$5,Saidas[Centro de Custos],X!$E$14,Saidas[Status],X!$E$13)</f>
        <v>0</v>
      </c>
    </row>
    <row r="934">
      <c r="M934" s="277"/>
      <c r="N934" s="105">
        <f>SUMIFS(Entradas[Valores],Entradas[Cliente],M934,Entradas[Data da Competência],"&gt;="&amp;RESUMO!$C$4,Entradas[Data da Competência],"&lt;"&amp;RESUMO!$D$5,Entradas[Centro de Custos],X!$E$14,Entradas[Status],X!$E$13)</f>
        <v>0</v>
      </c>
      <c r="P934" s="277"/>
      <c r="Q934" s="105">
        <f>SUMIFS(Saidas[Valores],Saidas[Fornecedor],P934,Saidas[Data da Competência],"&gt;="&amp;RESUMO!$C$4,Saidas[Data da Competência],"&lt;"&amp;RESUMO!$D$5,Saidas[Centro de Custos],X!$E$14,Saidas[Status],X!$E$13)</f>
        <v>0</v>
      </c>
    </row>
    <row r="935">
      <c r="M935" s="277"/>
      <c r="N935" s="105">
        <f>SUMIFS(Entradas[Valores],Entradas[Cliente],M935,Entradas[Data da Competência],"&gt;="&amp;RESUMO!$C$4,Entradas[Data da Competência],"&lt;"&amp;RESUMO!$D$5,Entradas[Centro de Custos],X!$E$14,Entradas[Status],X!$E$13)</f>
        <v>0</v>
      </c>
      <c r="P935" s="277"/>
      <c r="Q935" s="105">
        <f>SUMIFS(Saidas[Valores],Saidas[Fornecedor],P935,Saidas[Data da Competência],"&gt;="&amp;RESUMO!$C$4,Saidas[Data da Competência],"&lt;"&amp;RESUMO!$D$5,Saidas[Centro de Custos],X!$E$14,Saidas[Status],X!$E$13)</f>
        <v>0</v>
      </c>
    </row>
    <row r="936">
      <c r="M936" s="277"/>
      <c r="N936" s="105">
        <f>SUMIFS(Entradas[Valores],Entradas[Cliente],M936,Entradas[Data da Competência],"&gt;="&amp;RESUMO!$C$4,Entradas[Data da Competência],"&lt;"&amp;RESUMO!$D$5,Entradas[Centro de Custos],X!$E$14,Entradas[Status],X!$E$13)</f>
        <v>0</v>
      </c>
      <c r="P936" s="277"/>
      <c r="Q936" s="105">
        <f>SUMIFS(Saidas[Valores],Saidas[Fornecedor],P936,Saidas[Data da Competência],"&gt;="&amp;RESUMO!$C$4,Saidas[Data da Competência],"&lt;"&amp;RESUMO!$D$5,Saidas[Centro de Custos],X!$E$14,Saidas[Status],X!$E$13)</f>
        <v>0</v>
      </c>
    </row>
    <row r="937">
      <c r="M937" s="277"/>
      <c r="N937" s="105">
        <f>SUMIFS(Entradas[Valores],Entradas[Cliente],M937,Entradas[Data da Competência],"&gt;="&amp;RESUMO!$C$4,Entradas[Data da Competência],"&lt;"&amp;RESUMO!$D$5,Entradas[Centro de Custos],X!$E$14,Entradas[Status],X!$E$13)</f>
        <v>0</v>
      </c>
      <c r="P937" s="277"/>
      <c r="Q937" s="105">
        <f>SUMIFS(Saidas[Valores],Saidas[Fornecedor],P937,Saidas[Data da Competência],"&gt;="&amp;RESUMO!$C$4,Saidas[Data da Competência],"&lt;"&amp;RESUMO!$D$5,Saidas[Centro de Custos],X!$E$14,Saidas[Status],X!$E$13)</f>
        <v>0</v>
      </c>
    </row>
    <row r="938">
      <c r="M938" s="277"/>
      <c r="N938" s="105">
        <f>SUMIFS(Entradas[Valores],Entradas[Cliente],M938,Entradas[Data da Competência],"&gt;="&amp;RESUMO!$C$4,Entradas[Data da Competência],"&lt;"&amp;RESUMO!$D$5,Entradas[Centro de Custos],X!$E$14,Entradas[Status],X!$E$13)</f>
        <v>0</v>
      </c>
      <c r="P938" s="277"/>
      <c r="Q938" s="105">
        <f>SUMIFS(Saidas[Valores],Saidas[Fornecedor],P938,Saidas[Data da Competência],"&gt;="&amp;RESUMO!$C$4,Saidas[Data da Competência],"&lt;"&amp;RESUMO!$D$5,Saidas[Centro de Custos],X!$E$14,Saidas[Status],X!$E$13)</f>
        <v>0</v>
      </c>
    </row>
    <row r="939">
      <c r="M939" s="277"/>
      <c r="N939" s="105">
        <f>SUMIFS(Entradas[Valores],Entradas[Cliente],M939,Entradas[Data da Competência],"&gt;="&amp;RESUMO!$C$4,Entradas[Data da Competência],"&lt;"&amp;RESUMO!$D$5,Entradas[Centro de Custos],X!$E$14,Entradas[Status],X!$E$13)</f>
        <v>0</v>
      </c>
      <c r="P939" s="277"/>
      <c r="Q939" s="105">
        <f>SUMIFS(Saidas[Valores],Saidas[Fornecedor],P939,Saidas[Data da Competência],"&gt;="&amp;RESUMO!$C$4,Saidas[Data da Competência],"&lt;"&amp;RESUMO!$D$5,Saidas[Centro de Custos],X!$E$14,Saidas[Status],X!$E$13)</f>
        <v>0</v>
      </c>
    </row>
    <row r="940">
      <c r="M940" s="277"/>
      <c r="N940" s="105">
        <f>SUMIFS(Entradas[Valores],Entradas[Cliente],M940,Entradas[Data da Competência],"&gt;="&amp;RESUMO!$C$4,Entradas[Data da Competência],"&lt;"&amp;RESUMO!$D$5,Entradas[Centro de Custos],X!$E$14,Entradas[Status],X!$E$13)</f>
        <v>0</v>
      </c>
      <c r="P940" s="277"/>
      <c r="Q940" s="105">
        <f>SUMIFS(Saidas[Valores],Saidas[Fornecedor],P940,Saidas[Data da Competência],"&gt;="&amp;RESUMO!$C$4,Saidas[Data da Competência],"&lt;"&amp;RESUMO!$D$5,Saidas[Centro de Custos],X!$E$14,Saidas[Status],X!$E$13)</f>
        <v>0</v>
      </c>
    </row>
    <row r="941">
      <c r="M941" s="277"/>
      <c r="N941" s="105">
        <f>SUMIFS(Entradas[Valores],Entradas[Cliente],M941,Entradas[Data da Competência],"&gt;="&amp;RESUMO!$C$4,Entradas[Data da Competência],"&lt;"&amp;RESUMO!$D$5,Entradas[Centro de Custos],X!$E$14,Entradas[Status],X!$E$13)</f>
        <v>0</v>
      </c>
      <c r="P941" s="277"/>
      <c r="Q941" s="105">
        <f>SUMIFS(Saidas[Valores],Saidas[Fornecedor],P941,Saidas[Data da Competência],"&gt;="&amp;RESUMO!$C$4,Saidas[Data da Competência],"&lt;"&amp;RESUMO!$D$5,Saidas[Centro de Custos],X!$E$14,Saidas[Status],X!$E$13)</f>
        <v>0</v>
      </c>
    </row>
    <row r="942">
      <c r="M942" s="277"/>
      <c r="N942" s="105">
        <f>SUMIFS(Entradas[Valores],Entradas[Cliente],M942,Entradas[Data da Competência],"&gt;="&amp;RESUMO!$C$4,Entradas[Data da Competência],"&lt;"&amp;RESUMO!$D$5,Entradas[Centro de Custos],X!$E$14,Entradas[Status],X!$E$13)</f>
        <v>0</v>
      </c>
      <c r="P942" s="277"/>
      <c r="Q942" s="105">
        <f>SUMIFS(Saidas[Valores],Saidas[Fornecedor],P942,Saidas[Data da Competência],"&gt;="&amp;RESUMO!$C$4,Saidas[Data da Competência],"&lt;"&amp;RESUMO!$D$5,Saidas[Centro de Custos],X!$E$14,Saidas[Status],X!$E$13)</f>
        <v>0</v>
      </c>
    </row>
    <row r="943">
      <c r="M943" s="277"/>
      <c r="N943" s="105">
        <f>SUMIFS(Entradas[Valores],Entradas[Cliente],M943,Entradas[Data da Competência],"&gt;="&amp;RESUMO!$C$4,Entradas[Data da Competência],"&lt;"&amp;RESUMO!$D$5,Entradas[Centro de Custos],X!$E$14,Entradas[Status],X!$E$13)</f>
        <v>0</v>
      </c>
      <c r="P943" s="277"/>
      <c r="Q943" s="105">
        <f>SUMIFS(Saidas[Valores],Saidas[Fornecedor],P943,Saidas[Data da Competência],"&gt;="&amp;RESUMO!$C$4,Saidas[Data da Competência],"&lt;"&amp;RESUMO!$D$5,Saidas[Centro de Custos],X!$E$14,Saidas[Status],X!$E$13)</f>
        <v>0</v>
      </c>
    </row>
    <row r="944">
      <c r="M944" s="277"/>
      <c r="N944" s="105">
        <f>SUMIFS(Entradas[Valores],Entradas[Cliente],M944,Entradas[Data da Competência],"&gt;="&amp;RESUMO!$C$4,Entradas[Data da Competência],"&lt;"&amp;RESUMO!$D$5,Entradas[Centro de Custos],X!$E$14,Entradas[Status],X!$E$13)</f>
        <v>0</v>
      </c>
      <c r="P944" s="277"/>
      <c r="Q944" s="105">
        <f>SUMIFS(Saidas[Valores],Saidas[Fornecedor],P944,Saidas[Data da Competência],"&gt;="&amp;RESUMO!$C$4,Saidas[Data da Competência],"&lt;"&amp;RESUMO!$D$5,Saidas[Centro de Custos],X!$E$14,Saidas[Status],X!$E$13)</f>
        <v>0</v>
      </c>
    </row>
    <row r="945">
      <c r="M945" s="277"/>
      <c r="N945" s="105">
        <f>SUMIFS(Entradas[Valores],Entradas[Cliente],M945,Entradas[Data da Competência],"&gt;="&amp;RESUMO!$C$4,Entradas[Data da Competência],"&lt;"&amp;RESUMO!$D$5,Entradas[Centro de Custos],X!$E$14,Entradas[Status],X!$E$13)</f>
        <v>0</v>
      </c>
      <c r="P945" s="277"/>
      <c r="Q945" s="105">
        <f>SUMIFS(Saidas[Valores],Saidas[Fornecedor],P945,Saidas[Data da Competência],"&gt;="&amp;RESUMO!$C$4,Saidas[Data da Competência],"&lt;"&amp;RESUMO!$D$5,Saidas[Centro de Custos],X!$E$14,Saidas[Status],X!$E$13)</f>
        <v>0</v>
      </c>
    </row>
    <row r="946">
      <c r="M946" s="277"/>
      <c r="N946" s="105">
        <f>SUMIFS(Entradas[Valores],Entradas[Cliente],M946,Entradas[Data da Competência],"&gt;="&amp;RESUMO!$C$4,Entradas[Data da Competência],"&lt;"&amp;RESUMO!$D$5,Entradas[Centro de Custos],X!$E$14,Entradas[Status],X!$E$13)</f>
        <v>0</v>
      </c>
      <c r="P946" s="277"/>
      <c r="Q946" s="105">
        <f>SUMIFS(Saidas[Valores],Saidas[Fornecedor],P946,Saidas[Data da Competência],"&gt;="&amp;RESUMO!$C$4,Saidas[Data da Competência],"&lt;"&amp;RESUMO!$D$5,Saidas[Centro de Custos],X!$E$14,Saidas[Status],X!$E$13)</f>
        <v>0</v>
      </c>
    </row>
    <row r="947">
      <c r="M947" s="277"/>
      <c r="N947" s="105">
        <f>SUMIFS(Entradas[Valores],Entradas[Cliente],M947,Entradas[Data da Competência],"&gt;="&amp;RESUMO!$C$4,Entradas[Data da Competência],"&lt;"&amp;RESUMO!$D$5,Entradas[Centro de Custos],X!$E$14,Entradas[Status],X!$E$13)</f>
        <v>0</v>
      </c>
      <c r="P947" s="277"/>
      <c r="Q947" s="105">
        <f>SUMIFS(Saidas[Valores],Saidas[Fornecedor],P947,Saidas[Data da Competência],"&gt;="&amp;RESUMO!$C$4,Saidas[Data da Competência],"&lt;"&amp;RESUMO!$D$5,Saidas[Centro de Custos],X!$E$14,Saidas[Status],X!$E$13)</f>
        <v>0</v>
      </c>
    </row>
    <row r="948">
      <c r="M948" s="277"/>
      <c r="N948" s="105">
        <f>SUMIFS(Entradas[Valores],Entradas[Cliente],M948,Entradas[Data da Competência],"&gt;="&amp;RESUMO!$C$4,Entradas[Data da Competência],"&lt;"&amp;RESUMO!$D$5,Entradas[Centro de Custos],X!$E$14,Entradas[Status],X!$E$13)</f>
        <v>0</v>
      </c>
      <c r="P948" s="277"/>
      <c r="Q948" s="105">
        <f>SUMIFS(Saidas[Valores],Saidas[Fornecedor],P948,Saidas[Data da Competência],"&gt;="&amp;RESUMO!$C$4,Saidas[Data da Competência],"&lt;"&amp;RESUMO!$D$5,Saidas[Centro de Custos],X!$E$14,Saidas[Status],X!$E$13)</f>
        <v>0</v>
      </c>
    </row>
    <row r="949">
      <c r="M949" s="277"/>
      <c r="N949" s="105">
        <f>SUMIFS(Entradas[Valores],Entradas[Cliente],M949,Entradas[Data da Competência],"&gt;="&amp;RESUMO!$C$4,Entradas[Data da Competência],"&lt;"&amp;RESUMO!$D$5,Entradas[Centro de Custos],X!$E$14,Entradas[Status],X!$E$13)</f>
        <v>0</v>
      </c>
      <c r="P949" s="277"/>
      <c r="Q949" s="105">
        <f>SUMIFS(Saidas[Valores],Saidas[Fornecedor],P949,Saidas[Data da Competência],"&gt;="&amp;RESUMO!$C$4,Saidas[Data da Competência],"&lt;"&amp;RESUMO!$D$5,Saidas[Centro de Custos],X!$E$14,Saidas[Status],X!$E$13)</f>
        <v>0</v>
      </c>
    </row>
    <row r="950">
      <c r="M950" s="277"/>
      <c r="N950" s="105">
        <f>SUMIFS(Entradas[Valores],Entradas[Cliente],M950,Entradas[Data da Competência],"&gt;="&amp;RESUMO!$C$4,Entradas[Data da Competência],"&lt;"&amp;RESUMO!$D$5,Entradas[Centro de Custos],X!$E$14,Entradas[Status],X!$E$13)</f>
        <v>0</v>
      </c>
      <c r="P950" s="277"/>
      <c r="Q950" s="105">
        <f>SUMIFS(Saidas[Valores],Saidas[Fornecedor],P950,Saidas[Data da Competência],"&gt;="&amp;RESUMO!$C$4,Saidas[Data da Competência],"&lt;"&amp;RESUMO!$D$5,Saidas[Centro de Custos],X!$E$14,Saidas[Status],X!$E$13)</f>
        <v>0</v>
      </c>
    </row>
    <row r="951">
      <c r="M951" s="277"/>
      <c r="N951" s="105">
        <f>SUMIFS(Entradas[Valores],Entradas[Cliente],M951,Entradas[Data da Competência],"&gt;="&amp;RESUMO!$C$4,Entradas[Data da Competência],"&lt;"&amp;RESUMO!$D$5,Entradas[Centro de Custos],X!$E$14,Entradas[Status],X!$E$13)</f>
        <v>0</v>
      </c>
      <c r="P951" s="277"/>
      <c r="Q951" s="105">
        <f>SUMIFS(Saidas[Valores],Saidas[Fornecedor],P951,Saidas[Data da Competência],"&gt;="&amp;RESUMO!$C$4,Saidas[Data da Competência],"&lt;"&amp;RESUMO!$D$5,Saidas[Centro de Custos],X!$E$14,Saidas[Status],X!$E$13)</f>
        <v>0</v>
      </c>
    </row>
    <row r="952">
      <c r="M952" s="277"/>
      <c r="N952" s="105">
        <f>SUMIFS(Entradas[Valores],Entradas[Cliente],M952,Entradas[Data da Competência],"&gt;="&amp;RESUMO!$C$4,Entradas[Data da Competência],"&lt;"&amp;RESUMO!$D$5,Entradas[Centro de Custos],X!$E$14,Entradas[Status],X!$E$13)</f>
        <v>0</v>
      </c>
      <c r="P952" s="277"/>
      <c r="Q952" s="105">
        <f>SUMIFS(Saidas[Valores],Saidas[Fornecedor],P952,Saidas[Data da Competência],"&gt;="&amp;RESUMO!$C$4,Saidas[Data da Competência],"&lt;"&amp;RESUMO!$D$5,Saidas[Centro de Custos],X!$E$14,Saidas[Status],X!$E$13)</f>
        <v>0</v>
      </c>
    </row>
    <row r="953">
      <c r="M953" s="277"/>
      <c r="N953" s="105">
        <f>SUMIFS(Entradas[Valores],Entradas[Cliente],M953,Entradas[Data da Competência],"&gt;="&amp;RESUMO!$C$4,Entradas[Data da Competência],"&lt;"&amp;RESUMO!$D$5,Entradas[Centro de Custos],X!$E$14,Entradas[Status],X!$E$13)</f>
        <v>0</v>
      </c>
      <c r="P953" s="277"/>
      <c r="Q953" s="105">
        <f>SUMIFS(Saidas[Valores],Saidas[Fornecedor],P953,Saidas[Data da Competência],"&gt;="&amp;RESUMO!$C$4,Saidas[Data da Competência],"&lt;"&amp;RESUMO!$D$5,Saidas[Centro de Custos],X!$E$14,Saidas[Status],X!$E$13)</f>
        <v>0</v>
      </c>
    </row>
    <row r="954">
      <c r="M954" s="277"/>
      <c r="N954" s="105">
        <f>SUMIFS(Entradas[Valores],Entradas[Cliente],M954,Entradas[Data da Competência],"&gt;="&amp;RESUMO!$C$4,Entradas[Data da Competência],"&lt;"&amp;RESUMO!$D$5,Entradas[Centro de Custos],X!$E$14,Entradas[Status],X!$E$13)</f>
        <v>0</v>
      </c>
      <c r="P954" s="277"/>
      <c r="Q954" s="105">
        <f>SUMIFS(Saidas[Valores],Saidas[Fornecedor],P954,Saidas[Data da Competência],"&gt;="&amp;RESUMO!$C$4,Saidas[Data da Competência],"&lt;"&amp;RESUMO!$D$5,Saidas[Centro de Custos],X!$E$14,Saidas[Status],X!$E$13)</f>
        <v>0</v>
      </c>
    </row>
    <row r="955">
      <c r="M955" s="277"/>
      <c r="N955" s="105">
        <f>SUMIFS(Entradas[Valores],Entradas[Cliente],M955,Entradas[Data da Competência],"&gt;="&amp;RESUMO!$C$4,Entradas[Data da Competência],"&lt;"&amp;RESUMO!$D$5,Entradas[Centro de Custos],X!$E$14,Entradas[Status],X!$E$13)</f>
        <v>0</v>
      </c>
      <c r="P955" s="277"/>
      <c r="Q955" s="105">
        <f>SUMIFS(Saidas[Valores],Saidas[Fornecedor],P955,Saidas[Data da Competência],"&gt;="&amp;RESUMO!$C$4,Saidas[Data da Competência],"&lt;"&amp;RESUMO!$D$5,Saidas[Centro de Custos],X!$E$14,Saidas[Status],X!$E$13)</f>
        <v>0</v>
      </c>
    </row>
    <row r="956">
      <c r="M956" s="277"/>
      <c r="N956" s="105">
        <f>SUMIFS(Entradas[Valores],Entradas[Cliente],M956,Entradas[Data da Competência],"&gt;="&amp;RESUMO!$C$4,Entradas[Data da Competência],"&lt;"&amp;RESUMO!$D$5,Entradas[Centro de Custos],X!$E$14,Entradas[Status],X!$E$13)</f>
        <v>0</v>
      </c>
      <c r="P956" s="277"/>
      <c r="Q956" s="105">
        <f>SUMIFS(Saidas[Valores],Saidas[Fornecedor],P956,Saidas[Data da Competência],"&gt;="&amp;RESUMO!$C$4,Saidas[Data da Competência],"&lt;"&amp;RESUMO!$D$5,Saidas[Centro de Custos],X!$E$14,Saidas[Status],X!$E$13)</f>
        <v>0</v>
      </c>
    </row>
    <row r="957">
      <c r="M957" s="277"/>
      <c r="N957" s="105">
        <f>SUMIFS(Entradas[Valores],Entradas[Cliente],M957,Entradas[Data da Competência],"&gt;="&amp;RESUMO!$C$4,Entradas[Data da Competência],"&lt;"&amp;RESUMO!$D$5,Entradas[Centro de Custos],X!$E$14,Entradas[Status],X!$E$13)</f>
        <v>0</v>
      </c>
      <c r="P957" s="277"/>
      <c r="Q957" s="105">
        <f>SUMIFS(Saidas[Valores],Saidas[Fornecedor],P957,Saidas[Data da Competência],"&gt;="&amp;RESUMO!$C$4,Saidas[Data da Competência],"&lt;"&amp;RESUMO!$D$5,Saidas[Centro de Custos],X!$E$14,Saidas[Status],X!$E$13)</f>
        <v>0</v>
      </c>
    </row>
    <row r="958">
      <c r="M958" s="277"/>
      <c r="N958" s="105">
        <f>SUMIFS(Entradas[Valores],Entradas[Cliente],M958,Entradas[Data da Competência],"&gt;="&amp;RESUMO!$C$4,Entradas[Data da Competência],"&lt;"&amp;RESUMO!$D$5,Entradas[Centro de Custos],X!$E$14,Entradas[Status],X!$E$13)</f>
        <v>0</v>
      </c>
      <c r="P958" s="277"/>
      <c r="Q958" s="105">
        <f>SUMIFS(Saidas[Valores],Saidas[Fornecedor],P958,Saidas[Data da Competência],"&gt;="&amp;RESUMO!$C$4,Saidas[Data da Competência],"&lt;"&amp;RESUMO!$D$5,Saidas[Centro de Custos],X!$E$14,Saidas[Status],X!$E$13)</f>
        <v>0</v>
      </c>
    </row>
    <row r="959">
      <c r="M959" s="277"/>
      <c r="N959" s="105">
        <f>SUMIFS(Entradas[Valores],Entradas[Cliente],M959,Entradas[Data da Competência],"&gt;="&amp;RESUMO!$C$4,Entradas[Data da Competência],"&lt;"&amp;RESUMO!$D$5,Entradas[Centro de Custos],X!$E$14,Entradas[Status],X!$E$13)</f>
        <v>0</v>
      </c>
      <c r="P959" s="277"/>
      <c r="Q959" s="105">
        <f>SUMIFS(Saidas[Valores],Saidas[Fornecedor],P959,Saidas[Data da Competência],"&gt;="&amp;RESUMO!$C$4,Saidas[Data da Competência],"&lt;"&amp;RESUMO!$D$5,Saidas[Centro de Custos],X!$E$14,Saidas[Status],X!$E$13)</f>
        <v>0</v>
      </c>
    </row>
    <row r="960">
      <c r="M960" s="277"/>
      <c r="N960" s="105">
        <f>SUMIFS(Entradas[Valores],Entradas[Cliente],M960,Entradas[Data da Competência],"&gt;="&amp;RESUMO!$C$4,Entradas[Data da Competência],"&lt;"&amp;RESUMO!$D$5,Entradas[Centro de Custos],X!$E$14,Entradas[Status],X!$E$13)</f>
        <v>0</v>
      </c>
      <c r="P960" s="277"/>
      <c r="Q960" s="105">
        <f>SUMIFS(Saidas[Valores],Saidas[Fornecedor],P960,Saidas[Data da Competência],"&gt;="&amp;RESUMO!$C$4,Saidas[Data da Competência],"&lt;"&amp;RESUMO!$D$5,Saidas[Centro de Custos],X!$E$14,Saidas[Status],X!$E$13)</f>
        <v>0</v>
      </c>
    </row>
    <row r="961">
      <c r="M961" s="277"/>
      <c r="N961" s="105">
        <f>SUMIFS(Entradas[Valores],Entradas[Cliente],M961,Entradas[Data da Competência],"&gt;="&amp;RESUMO!$C$4,Entradas[Data da Competência],"&lt;"&amp;RESUMO!$D$5,Entradas[Centro de Custos],X!$E$14,Entradas[Status],X!$E$13)</f>
        <v>0</v>
      </c>
      <c r="P961" s="277"/>
      <c r="Q961" s="105">
        <f>SUMIFS(Saidas[Valores],Saidas[Fornecedor],P961,Saidas[Data da Competência],"&gt;="&amp;RESUMO!$C$4,Saidas[Data da Competência],"&lt;"&amp;RESUMO!$D$5,Saidas[Centro de Custos],X!$E$14,Saidas[Status],X!$E$13)</f>
        <v>0</v>
      </c>
    </row>
    <row r="962">
      <c r="M962" s="277"/>
      <c r="N962" s="105">
        <f>SUMIFS(Entradas[Valores],Entradas[Cliente],M962,Entradas[Data da Competência],"&gt;="&amp;RESUMO!$C$4,Entradas[Data da Competência],"&lt;"&amp;RESUMO!$D$5,Entradas[Centro de Custos],X!$E$14,Entradas[Status],X!$E$13)</f>
        <v>0</v>
      </c>
      <c r="P962" s="277"/>
      <c r="Q962" s="105">
        <f>SUMIFS(Saidas[Valores],Saidas[Fornecedor],P962,Saidas[Data da Competência],"&gt;="&amp;RESUMO!$C$4,Saidas[Data da Competência],"&lt;"&amp;RESUMO!$D$5,Saidas[Centro de Custos],X!$E$14,Saidas[Status],X!$E$13)</f>
        <v>0</v>
      </c>
    </row>
    <row r="963">
      <c r="M963" s="277"/>
      <c r="N963" s="105">
        <f>SUMIFS(Entradas[Valores],Entradas[Cliente],M963,Entradas[Data da Competência],"&gt;="&amp;RESUMO!$C$4,Entradas[Data da Competência],"&lt;"&amp;RESUMO!$D$5,Entradas[Centro de Custos],X!$E$14,Entradas[Status],X!$E$13)</f>
        <v>0</v>
      </c>
      <c r="P963" s="277"/>
      <c r="Q963" s="105">
        <f>SUMIFS(Saidas[Valores],Saidas[Fornecedor],P963,Saidas[Data da Competência],"&gt;="&amp;RESUMO!$C$4,Saidas[Data da Competência],"&lt;"&amp;RESUMO!$D$5,Saidas[Centro de Custos],X!$E$14,Saidas[Status],X!$E$13)</f>
        <v>0</v>
      </c>
    </row>
    <row r="964">
      <c r="M964" s="277"/>
      <c r="N964" s="105">
        <f>SUMIFS(Entradas[Valores],Entradas[Cliente],M964,Entradas[Data da Competência],"&gt;="&amp;RESUMO!$C$4,Entradas[Data da Competência],"&lt;"&amp;RESUMO!$D$5,Entradas[Centro de Custos],X!$E$14,Entradas[Status],X!$E$13)</f>
        <v>0</v>
      </c>
      <c r="P964" s="277"/>
      <c r="Q964" s="105">
        <f>SUMIFS(Saidas[Valores],Saidas[Fornecedor],P964,Saidas[Data da Competência],"&gt;="&amp;RESUMO!$C$4,Saidas[Data da Competência],"&lt;"&amp;RESUMO!$D$5,Saidas[Centro de Custos],X!$E$14,Saidas[Status],X!$E$13)</f>
        <v>0</v>
      </c>
    </row>
    <row r="965">
      <c r="M965" s="277"/>
      <c r="N965" s="105">
        <f>SUMIFS(Entradas[Valores],Entradas[Cliente],M965,Entradas[Data da Competência],"&gt;="&amp;RESUMO!$C$4,Entradas[Data da Competência],"&lt;"&amp;RESUMO!$D$5,Entradas[Centro de Custos],X!$E$14,Entradas[Status],X!$E$13)</f>
        <v>0</v>
      </c>
      <c r="P965" s="277"/>
      <c r="Q965" s="105">
        <f>SUMIFS(Saidas[Valores],Saidas[Fornecedor],P965,Saidas[Data da Competência],"&gt;="&amp;RESUMO!$C$4,Saidas[Data da Competência],"&lt;"&amp;RESUMO!$D$5,Saidas[Centro de Custos],X!$E$14,Saidas[Status],X!$E$13)</f>
        <v>0</v>
      </c>
    </row>
    <row r="966">
      <c r="M966" s="277"/>
      <c r="N966" s="105">
        <f>SUMIFS(Entradas[Valores],Entradas[Cliente],M966,Entradas[Data da Competência],"&gt;="&amp;RESUMO!$C$4,Entradas[Data da Competência],"&lt;"&amp;RESUMO!$D$5,Entradas[Centro de Custos],X!$E$14,Entradas[Status],X!$E$13)</f>
        <v>0</v>
      </c>
      <c r="P966" s="277"/>
      <c r="Q966" s="105">
        <f>SUMIFS(Saidas[Valores],Saidas[Fornecedor],P966,Saidas[Data da Competência],"&gt;="&amp;RESUMO!$C$4,Saidas[Data da Competência],"&lt;"&amp;RESUMO!$D$5,Saidas[Centro de Custos],X!$E$14,Saidas[Status],X!$E$13)</f>
        <v>0</v>
      </c>
    </row>
    <row r="967">
      <c r="M967" s="277"/>
      <c r="N967" s="105">
        <f>SUMIFS(Entradas[Valores],Entradas[Cliente],M967,Entradas[Data da Competência],"&gt;="&amp;RESUMO!$C$4,Entradas[Data da Competência],"&lt;"&amp;RESUMO!$D$5,Entradas[Centro de Custos],X!$E$14,Entradas[Status],X!$E$13)</f>
        <v>0</v>
      </c>
      <c r="P967" s="277"/>
      <c r="Q967" s="105">
        <f>SUMIFS(Saidas[Valores],Saidas[Fornecedor],P967,Saidas[Data da Competência],"&gt;="&amp;RESUMO!$C$4,Saidas[Data da Competência],"&lt;"&amp;RESUMO!$D$5,Saidas[Centro de Custos],X!$E$14,Saidas[Status],X!$E$13)</f>
        <v>0</v>
      </c>
    </row>
    <row r="968">
      <c r="M968" s="277"/>
      <c r="N968" s="105">
        <f>SUMIFS(Entradas[Valores],Entradas[Cliente],M968,Entradas[Data da Competência],"&gt;="&amp;RESUMO!$C$4,Entradas[Data da Competência],"&lt;"&amp;RESUMO!$D$5,Entradas[Centro de Custos],X!$E$14,Entradas[Status],X!$E$13)</f>
        <v>0</v>
      </c>
      <c r="P968" s="277"/>
      <c r="Q968" s="105">
        <f>SUMIFS(Saidas[Valores],Saidas[Fornecedor],P968,Saidas[Data da Competência],"&gt;="&amp;RESUMO!$C$4,Saidas[Data da Competência],"&lt;"&amp;RESUMO!$D$5,Saidas[Centro de Custos],X!$E$14,Saidas[Status],X!$E$13)</f>
        <v>0</v>
      </c>
    </row>
    <row r="969">
      <c r="M969" s="277"/>
      <c r="N969" s="105">
        <f>SUMIFS(Entradas[Valores],Entradas[Cliente],M969,Entradas[Data da Competência],"&gt;="&amp;RESUMO!$C$4,Entradas[Data da Competência],"&lt;"&amp;RESUMO!$D$5,Entradas[Centro de Custos],X!$E$14,Entradas[Status],X!$E$13)</f>
        <v>0</v>
      </c>
      <c r="P969" s="277"/>
      <c r="Q969" s="105">
        <f>SUMIFS(Saidas[Valores],Saidas[Fornecedor],P969,Saidas[Data da Competência],"&gt;="&amp;RESUMO!$C$4,Saidas[Data da Competência],"&lt;"&amp;RESUMO!$D$5,Saidas[Centro de Custos],X!$E$14,Saidas[Status],X!$E$13)</f>
        <v>0</v>
      </c>
    </row>
    <row r="970">
      <c r="M970" s="277"/>
      <c r="N970" s="105">
        <f>SUMIFS(Entradas[Valores],Entradas[Cliente],M970,Entradas[Data da Competência],"&gt;="&amp;RESUMO!$C$4,Entradas[Data da Competência],"&lt;"&amp;RESUMO!$D$5,Entradas[Centro de Custos],X!$E$14,Entradas[Status],X!$E$13)</f>
        <v>0</v>
      </c>
      <c r="P970" s="277"/>
      <c r="Q970" s="105">
        <f>SUMIFS(Saidas[Valores],Saidas[Fornecedor],P970,Saidas[Data da Competência],"&gt;="&amp;RESUMO!$C$4,Saidas[Data da Competência],"&lt;"&amp;RESUMO!$D$5,Saidas[Centro de Custos],X!$E$14,Saidas[Status],X!$E$13)</f>
        <v>0</v>
      </c>
    </row>
    <row r="971">
      <c r="M971" s="277"/>
      <c r="N971" s="105">
        <f>SUMIFS(Entradas[Valores],Entradas[Cliente],M971,Entradas[Data da Competência],"&gt;="&amp;RESUMO!$C$4,Entradas[Data da Competência],"&lt;"&amp;RESUMO!$D$5,Entradas[Centro de Custos],X!$E$14,Entradas[Status],X!$E$13)</f>
        <v>0</v>
      </c>
      <c r="P971" s="277"/>
      <c r="Q971" s="105">
        <f>SUMIFS(Saidas[Valores],Saidas[Fornecedor],P971,Saidas[Data da Competência],"&gt;="&amp;RESUMO!$C$4,Saidas[Data da Competência],"&lt;"&amp;RESUMO!$D$5,Saidas[Centro de Custos],X!$E$14,Saidas[Status],X!$E$13)</f>
        <v>0</v>
      </c>
    </row>
    <row r="972">
      <c r="M972" s="277"/>
      <c r="N972" s="105">
        <f>SUMIFS(Entradas[Valores],Entradas[Cliente],M972,Entradas[Data da Competência],"&gt;="&amp;RESUMO!$C$4,Entradas[Data da Competência],"&lt;"&amp;RESUMO!$D$5,Entradas[Centro de Custos],X!$E$14,Entradas[Status],X!$E$13)</f>
        <v>0</v>
      </c>
      <c r="P972" s="277"/>
      <c r="Q972" s="105">
        <f>SUMIFS(Saidas[Valores],Saidas[Fornecedor],P972,Saidas[Data da Competência],"&gt;="&amp;RESUMO!$C$4,Saidas[Data da Competência],"&lt;"&amp;RESUMO!$D$5,Saidas[Centro de Custos],X!$E$14,Saidas[Status],X!$E$13)</f>
        <v>0</v>
      </c>
    </row>
    <row r="973">
      <c r="M973" s="277"/>
      <c r="N973" s="105">
        <f>SUMIFS(Entradas[Valores],Entradas[Cliente],M973,Entradas[Data da Competência],"&gt;="&amp;RESUMO!$C$4,Entradas[Data da Competência],"&lt;"&amp;RESUMO!$D$5,Entradas[Centro de Custos],X!$E$14,Entradas[Status],X!$E$13)</f>
        <v>0</v>
      </c>
      <c r="P973" s="277"/>
      <c r="Q973" s="105">
        <f>SUMIFS(Saidas[Valores],Saidas[Fornecedor],P973,Saidas[Data da Competência],"&gt;="&amp;RESUMO!$C$4,Saidas[Data da Competência],"&lt;"&amp;RESUMO!$D$5,Saidas[Centro de Custos],X!$E$14,Saidas[Status],X!$E$13)</f>
        <v>0</v>
      </c>
    </row>
    <row r="974">
      <c r="M974" s="277"/>
      <c r="N974" s="105">
        <f>SUMIFS(Entradas[Valores],Entradas[Cliente],M974,Entradas[Data da Competência],"&gt;="&amp;RESUMO!$C$4,Entradas[Data da Competência],"&lt;"&amp;RESUMO!$D$5,Entradas[Centro de Custos],X!$E$14,Entradas[Status],X!$E$13)</f>
        <v>0</v>
      </c>
      <c r="P974" s="277"/>
      <c r="Q974" s="105">
        <f>SUMIFS(Saidas[Valores],Saidas[Fornecedor],P974,Saidas[Data da Competência],"&gt;="&amp;RESUMO!$C$4,Saidas[Data da Competência],"&lt;"&amp;RESUMO!$D$5,Saidas[Centro de Custos],X!$E$14,Saidas[Status],X!$E$13)</f>
        <v>0</v>
      </c>
    </row>
    <row r="975">
      <c r="M975" s="277"/>
      <c r="N975" s="105">
        <f>SUMIFS(Entradas[Valores],Entradas[Cliente],M975,Entradas[Data da Competência],"&gt;="&amp;RESUMO!$C$4,Entradas[Data da Competência],"&lt;"&amp;RESUMO!$D$5,Entradas[Centro de Custos],X!$E$14,Entradas[Status],X!$E$13)</f>
        <v>0</v>
      </c>
      <c r="P975" s="277"/>
      <c r="Q975" s="105">
        <f>SUMIFS(Saidas[Valores],Saidas[Fornecedor],P975,Saidas[Data da Competência],"&gt;="&amp;RESUMO!$C$4,Saidas[Data da Competência],"&lt;"&amp;RESUMO!$D$5,Saidas[Centro de Custos],X!$E$14,Saidas[Status],X!$E$13)</f>
        <v>0</v>
      </c>
    </row>
    <row r="976">
      <c r="M976" s="277"/>
      <c r="N976" s="105">
        <f>SUMIFS(Entradas[Valores],Entradas[Cliente],M976,Entradas[Data da Competência],"&gt;="&amp;RESUMO!$C$4,Entradas[Data da Competência],"&lt;"&amp;RESUMO!$D$5,Entradas[Centro de Custos],X!$E$14,Entradas[Status],X!$E$13)</f>
        <v>0</v>
      </c>
      <c r="P976" s="277"/>
      <c r="Q976" s="105">
        <f>SUMIFS(Saidas[Valores],Saidas[Fornecedor],P976,Saidas[Data da Competência],"&gt;="&amp;RESUMO!$C$4,Saidas[Data da Competência],"&lt;"&amp;RESUMO!$D$5,Saidas[Centro de Custos],X!$E$14,Saidas[Status],X!$E$13)</f>
        <v>0</v>
      </c>
    </row>
    <row r="977">
      <c r="M977" s="277"/>
      <c r="N977" s="105">
        <f>SUMIFS(Entradas[Valores],Entradas[Cliente],M977,Entradas[Data da Competência],"&gt;="&amp;RESUMO!$C$4,Entradas[Data da Competência],"&lt;"&amp;RESUMO!$D$5,Entradas[Centro de Custos],X!$E$14,Entradas[Status],X!$E$13)</f>
        <v>0</v>
      </c>
      <c r="P977" s="277"/>
      <c r="Q977" s="105">
        <f>SUMIFS(Saidas[Valores],Saidas[Fornecedor],P977,Saidas[Data da Competência],"&gt;="&amp;RESUMO!$C$4,Saidas[Data da Competência],"&lt;"&amp;RESUMO!$D$5,Saidas[Centro de Custos],X!$E$14,Saidas[Status],X!$E$13)</f>
        <v>0</v>
      </c>
    </row>
    <row r="978">
      <c r="M978" s="277"/>
      <c r="N978" s="105">
        <f>SUMIFS(Entradas[Valores],Entradas[Cliente],M978,Entradas[Data da Competência],"&gt;="&amp;RESUMO!$C$4,Entradas[Data da Competência],"&lt;"&amp;RESUMO!$D$5,Entradas[Centro de Custos],X!$E$14,Entradas[Status],X!$E$13)</f>
        <v>0</v>
      </c>
      <c r="P978" s="277"/>
      <c r="Q978" s="105">
        <f>SUMIFS(Saidas[Valores],Saidas[Fornecedor],P978,Saidas[Data da Competência],"&gt;="&amp;RESUMO!$C$4,Saidas[Data da Competência],"&lt;"&amp;RESUMO!$D$5,Saidas[Centro de Custos],X!$E$14,Saidas[Status],X!$E$13)</f>
        <v>0</v>
      </c>
    </row>
    <row r="979">
      <c r="M979" s="277"/>
      <c r="N979" s="105">
        <f>SUMIFS(Entradas[Valores],Entradas[Cliente],M979,Entradas[Data da Competência],"&gt;="&amp;RESUMO!$C$4,Entradas[Data da Competência],"&lt;"&amp;RESUMO!$D$5,Entradas[Centro de Custos],X!$E$14,Entradas[Status],X!$E$13)</f>
        <v>0</v>
      </c>
      <c r="P979" s="277"/>
      <c r="Q979" s="105">
        <f>SUMIFS(Saidas[Valores],Saidas[Fornecedor],P979,Saidas[Data da Competência],"&gt;="&amp;RESUMO!$C$4,Saidas[Data da Competência],"&lt;"&amp;RESUMO!$D$5,Saidas[Centro de Custos],X!$E$14,Saidas[Status],X!$E$13)</f>
        <v>0</v>
      </c>
    </row>
    <row r="980">
      <c r="M980" s="277"/>
      <c r="N980" s="105">
        <f>SUMIFS(Entradas[Valores],Entradas[Cliente],M980,Entradas[Data da Competência],"&gt;="&amp;RESUMO!$C$4,Entradas[Data da Competência],"&lt;"&amp;RESUMO!$D$5,Entradas[Centro de Custos],X!$E$14,Entradas[Status],X!$E$13)</f>
        <v>0</v>
      </c>
      <c r="P980" s="277"/>
      <c r="Q980" s="105">
        <f>SUMIFS(Saidas[Valores],Saidas[Fornecedor],P980,Saidas[Data da Competência],"&gt;="&amp;RESUMO!$C$4,Saidas[Data da Competência],"&lt;"&amp;RESUMO!$D$5,Saidas[Centro de Custos],X!$E$14,Saidas[Status],X!$E$13)</f>
        <v>0</v>
      </c>
    </row>
    <row r="981">
      <c r="M981" s="277"/>
      <c r="N981" s="105">
        <f>SUMIFS(Entradas[Valores],Entradas[Cliente],M981,Entradas[Data da Competência],"&gt;="&amp;RESUMO!$C$4,Entradas[Data da Competência],"&lt;"&amp;RESUMO!$D$5,Entradas[Centro de Custos],X!$E$14,Entradas[Status],X!$E$13)</f>
        <v>0</v>
      </c>
      <c r="P981" s="277"/>
      <c r="Q981" s="105">
        <f>SUMIFS(Saidas[Valores],Saidas[Fornecedor],P981,Saidas[Data da Competência],"&gt;="&amp;RESUMO!$C$4,Saidas[Data da Competência],"&lt;"&amp;RESUMO!$D$5,Saidas[Centro de Custos],X!$E$14,Saidas[Status],X!$E$13)</f>
        <v>0</v>
      </c>
    </row>
    <row r="982">
      <c r="M982" s="277"/>
      <c r="N982" s="105">
        <f>SUMIFS(Entradas[Valores],Entradas[Cliente],M982,Entradas[Data da Competência],"&gt;="&amp;RESUMO!$C$4,Entradas[Data da Competência],"&lt;"&amp;RESUMO!$D$5,Entradas[Centro de Custos],X!$E$14,Entradas[Status],X!$E$13)</f>
        <v>0</v>
      </c>
      <c r="P982" s="277"/>
      <c r="Q982" s="105">
        <f>SUMIFS(Saidas[Valores],Saidas[Fornecedor],P982,Saidas[Data da Competência],"&gt;="&amp;RESUMO!$C$4,Saidas[Data da Competência],"&lt;"&amp;RESUMO!$D$5,Saidas[Centro de Custos],X!$E$14,Saidas[Status],X!$E$13)</f>
        <v>0</v>
      </c>
    </row>
    <row r="983">
      <c r="M983" s="277"/>
      <c r="N983" s="105">
        <f>SUMIFS(Entradas[Valores],Entradas[Cliente],M983,Entradas[Data da Competência],"&gt;="&amp;RESUMO!$C$4,Entradas[Data da Competência],"&lt;"&amp;RESUMO!$D$5,Entradas[Centro de Custos],X!$E$14,Entradas[Status],X!$E$13)</f>
        <v>0</v>
      </c>
      <c r="P983" s="277"/>
      <c r="Q983" s="105">
        <f>SUMIFS(Saidas[Valores],Saidas[Fornecedor],P983,Saidas[Data da Competência],"&gt;="&amp;RESUMO!$C$4,Saidas[Data da Competência],"&lt;"&amp;RESUMO!$D$5,Saidas[Centro de Custos],X!$E$14,Saidas[Status],X!$E$13)</f>
        <v>0</v>
      </c>
    </row>
    <row r="984">
      <c r="M984" s="277"/>
      <c r="N984" s="105">
        <f>SUMIFS(Entradas[Valores],Entradas[Cliente],M984,Entradas[Data da Competência],"&gt;="&amp;RESUMO!$C$4,Entradas[Data da Competência],"&lt;"&amp;RESUMO!$D$5,Entradas[Centro de Custos],X!$E$14,Entradas[Status],X!$E$13)</f>
        <v>0</v>
      </c>
      <c r="P984" s="277"/>
      <c r="Q984" s="105">
        <f>SUMIFS(Saidas[Valores],Saidas[Fornecedor],P984,Saidas[Data da Competência],"&gt;="&amp;RESUMO!$C$4,Saidas[Data da Competência],"&lt;"&amp;RESUMO!$D$5,Saidas[Centro de Custos],X!$E$14,Saidas[Status],X!$E$13)</f>
        <v>0</v>
      </c>
    </row>
    <row r="985">
      <c r="M985" s="277"/>
      <c r="N985" s="105">
        <f>SUMIFS(Entradas[Valores],Entradas[Cliente],M985,Entradas[Data da Competência],"&gt;="&amp;RESUMO!$C$4,Entradas[Data da Competência],"&lt;"&amp;RESUMO!$D$5,Entradas[Centro de Custos],X!$E$14,Entradas[Status],X!$E$13)</f>
        <v>0</v>
      </c>
      <c r="P985" s="277"/>
      <c r="Q985" s="105">
        <f>SUMIFS(Saidas[Valores],Saidas[Fornecedor],P985,Saidas[Data da Competência],"&gt;="&amp;RESUMO!$C$4,Saidas[Data da Competência],"&lt;"&amp;RESUMO!$D$5,Saidas[Centro de Custos],X!$E$14,Saidas[Status],X!$E$13)</f>
        <v>0</v>
      </c>
    </row>
    <row r="986">
      <c r="M986" s="277"/>
      <c r="N986" s="105">
        <f>SUMIFS(Entradas[Valores],Entradas[Cliente],M986,Entradas[Data da Competência],"&gt;="&amp;RESUMO!$C$4,Entradas[Data da Competência],"&lt;"&amp;RESUMO!$D$5,Entradas[Centro de Custos],X!$E$14,Entradas[Status],X!$E$13)</f>
        <v>0</v>
      </c>
      <c r="P986" s="277"/>
      <c r="Q986" s="105">
        <f>SUMIFS(Saidas[Valores],Saidas[Fornecedor],P986,Saidas[Data da Competência],"&gt;="&amp;RESUMO!$C$4,Saidas[Data da Competência],"&lt;"&amp;RESUMO!$D$5,Saidas[Centro de Custos],X!$E$14,Saidas[Status],X!$E$13)</f>
        <v>0</v>
      </c>
    </row>
    <row r="987">
      <c r="M987" s="277"/>
      <c r="N987" s="105">
        <f>SUMIFS(Entradas[Valores],Entradas[Cliente],M987,Entradas[Data da Competência],"&gt;="&amp;RESUMO!$C$4,Entradas[Data da Competência],"&lt;"&amp;RESUMO!$D$5,Entradas[Centro de Custos],X!$E$14,Entradas[Status],X!$E$13)</f>
        <v>0</v>
      </c>
      <c r="P987" s="277"/>
      <c r="Q987" s="105">
        <f>SUMIFS(Saidas[Valores],Saidas[Fornecedor],P987,Saidas[Data da Competência],"&gt;="&amp;RESUMO!$C$4,Saidas[Data da Competência],"&lt;"&amp;RESUMO!$D$5,Saidas[Centro de Custos],X!$E$14,Saidas[Status],X!$E$13)</f>
        <v>0</v>
      </c>
    </row>
    <row r="988">
      <c r="M988" s="277"/>
      <c r="N988" s="105">
        <f>SUMIFS(Entradas[Valores],Entradas[Cliente],M988,Entradas[Data da Competência],"&gt;="&amp;RESUMO!$C$4,Entradas[Data da Competência],"&lt;"&amp;RESUMO!$D$5,Entradas[Centro de Custos],X!$E$14,Entradas[Status],X!$E$13)</f>
        <v>0</v>
      </c>
      <c r="P988" s="277"/>
      <c r="Q988" s="105">
        <f>SUMIFS(Saidas[Valores],Saidas[Fornecedor],P988,Saidas[Data da Competência],"&gt;="&amp;RESUMO!$C$4,Saidas[Data da Competência],"&lt;"&amp;RESUMO!$D$5,Saidas[Centro de Custos],X!$E$14,Saidas[Status],X!$E$13)</f>
        <v>0</v>
      </c>
    </row>
    <row r="989">
      <c r="M989" s="277"/>
      <c r="N989" s="105">
        <f>SUMIFS(Entradas[Valores],Entradas[Cliente],M989,Entradas[Data da Competência],"&gt;="&amp;RESUMO!$C$4,Entradas[Data da Competência],"&lt;"&amp;RESUMO!$D$5,Entradas[Centro de Custos],X!$E$14,Entradas[Status],X!$E$13)</f>
        <v>0</v>
      </c>
      <c r="P989" s="277"/>
      <c r="Q989" s="105">
        <f>SUMIFS(Saidas[Valores],Saidas[Fornecedor],P989,Saidas[Data da Competência],"&gt;="&amp;RESUMO!$C$4,Saidas[Data da Competência],"&lt;"&amp;RESUMO!$D$5,Saidas[Centro de Custos],X!$E$14,Saidas[Status],X!$E$13)</f>
        <v>0</v>
      </c>
    </row>
    <row r="990">
      <c r="M990" s="277"/>
      <c r="N990" s="105">
        <f>SUMIFS(Entradas[Valores],Entradas[Cliente],M990,Entradas[Data da Competência],"&gt;="&amp;RESUMO!$C$4,Entradas[Data da Competência],"&lt;"&amp;RESUMO!$D$5,Entradas[Centro de Custos],X!$E$14,Entradas[Status],X!$E$13)</f>
        <v>0</v>
      </c>
      <c r="P990" s="277"/>
      <c r="Q990" s="105">
        <f>SUMIFS(Saidas[Valores],Saidas[Fornecedor],P990,Saidas[Data da Competência],"&gt;="&amp;RESUMO!$C$4,Saidas[Data da Competência],"&lt;"&amp;RESUMO!$D$5,Saidas[Centro de Custos],X!$E$14,Saidas[Status],X!$E$13)</f>
        <v>0</v>
      </c>
    </row>
    <row r="991">
      <c r="M991" s="277"/>
      <c r="N991" s="105">
        <f>SUMIFS(Entradas[Valores],Entradas[Cliente],M991,Entradas[Data da Competência],"&gt;="&amp;RESUMO!$C$4,Entradas[Data da Competência],"&lt;"&amp;RESUMO!$D$5,Entradas[Centro de Custos],X!$E$14,Entradas[Status],X!$E$13)</f>
        <v>0</v>
      </c>
      <c r="P991" s="277"/>
      <c r="Q991" s="105">
        <f>SUMIFS(Saidas[Valores],Saidas[Fornecedor],P991,Saidas[Data da Competência],"&gt;="&amp;RESUMO!$C$4,Saidas[Data da Competência],"&lt;"&amp;RESUMO!$D$5,Saidas[Centro de Custos],X!$E$14,Saidas[Status],X!$E$13)</f>
        <v>0</v>
      </c>
    </row>
    <row r="992">
      <c r="M992" s="277"/>
      <c r="N992" s="105">
        <f>SUMIFS(Entradas[Valores],Entradas[Cliente],M992,Entradas[Data da Competência],"&gt;="&amp;RESUMO!$C$4,Entradas[Data da Competência],"&lt;"&amp;RESUMO!$D$5,Entradas[Centro de Custos],X!$E$14,Entradas[Status],X!$E$13)</f>
        <v>0</v>
      </c>
      <c r="P992" s="277"/>
      <c r="Q992" s="105">
        <f>SUMIFS(Saidas[Valores],Saidas[Fornecedor],P992,Saidas[Data da Competência],"&gt;="&amp;RESUMO!$C$4,Saidas[Data da Competência],"&lt;"&amp;RESUMO!$D$5,Saidas[Centro de Custos],X!$E$14,Saidas[Status],X!$E$13)</f>
        <v>0</v>
      </c>
    </row>
    <row r="993">
      <c r="M993" s="277"/>
      <c r="N993" s="105">
        <f>SUMIFS(Entradas[Valores],Entradas[Cliente],M993,Entradas[Data da Competência],"&gt;="&amp;RESUMO!$C$4,Entradas[Data da Competência],"&lt;"&amp;RESUMO!$D$5,Entradas[Centro de Custos],X!$E$14,Entradas[Status],X!$E$13)</f>
        <v>0</v>
      </c>
      <c r="P993" s="277"/>
      <c r="Q993" s="105">
        <f>SUMIFS(Saidas[Valores],Saidas[Fornecedor],P993,Saidas[Data da Competência],"&gt;="&amp;RESUMO!$C$4,Saidas[Data da Competência],"&lt;"&amp;RESUMO!$D$5,Saidas[Centro de Custos],X!$E$14,Saidas[Status],X!$E$13)</f>
        <v>0</v>
      </c>
    </row>
    <row r="994">
      <c r="M994" s="277"/>
      <c r="N994" s="105">
        <f>SUMIFS(Entradas[Valores],Entradas[Cliente],M994,Entradas[Data da Competência],"&gt;="&amp;RESUMO!$C$4,Entradas[Data da Competência],"&lt;"&amp;RESUMO!$D$5,Entradas[Centro de Custos],X!$E$14,Entradas[Status],X!$E$13)</f>
        <v>0</v>
      </c>
      <c r="P994" s="277"/>
      <c r="Q994" s="105">
        <f>SUMIFS(Saidas[Valores],Saidas[Fornecedor],P994,Saidas[Data da Competência],"&gt;="&amp;RESUMO!$C$4,Saidas[Data da Competência],"&lt;"&amp;RESUMO!$D$5,Saidas[Centro de Custos],X!$E$14,Saidas[Status],X!$E$13)</f>
        <v>0</v>
      </c>
    </row>
    <row r="995">
      <c r="N995" s="105">
        <f>SUMIFS(Entradas[Valores],Entradas[Cliente],M995,Entradas[Data da Competência],"&gt;="&amp;RESUMO!$C$4,Entradas[Data da Competência],"&lt;"&amp;RESUMO!$D$5,Entradas[Centro de Custos],X!$E$14,Entradas[Status],X!$E$13)</f>
        <v>0</v>
      </c>
      <c r="Q995" s="105">
        <f>SUMIFS(Saidas[Valores],Saidas[Fornecedor],P995,Saidas[Data da Competência],"&gt;="&amp;RESUMO!$C$4,Saidas[Data da Competência],"&lt;"&amp;RESUMO!$D$5,Saidas[Centro de Custos],X!$E$14,Saidas[Status],X!$E$13)</f>
        <v>0</v>
      </c>
    </row>
    <row r="996">
      <c r="N996" s="105">
        <f>SUMIFS(Entradas[Valores],Entradas[Cliente],M996,Entradas[Data da Competência],"&gt;="&amp;RESUMO!$C$4,Entradas[Data da Competência],"&lt;"&amp;RESUMO!$D$5,Entradas[Centro de Custos],X!$E$14,Entradas[Status],X!$E$13)</f>
        <v>0</v>
      </c>
      <c r="Q996" s="105">
        <f>SUMIFS(Saidas[Valores],Saidas[Fornecedor],P996,Saidas[Data da Competência],"&gt;="&amp;RESUMO!$C$4,Saidas[Data da Competência],"&lt;"&amp;RESUMO!$D$5,Saidas[Centro de Custos],X!$E$14,Saidas[Status],X!$E$13)</f>
        <v>0</v>
      </c>
    </row>
    <row r="997">
      <c r="N997" s="105">
        <f>SUMIFS(Entradas[Valores],Entradas[Cliente],M997,Entradas[Data da Competência],"&gt;="&amp;RESUMO!$C$4,Entradas[Data da Competência],"&lt;"&amp;RESUMO!$D$5,Entradas[Centro de Custos],X!$E$14,Entradas[Status],X!$E$13)</f>
        <v>0</v>
      </c>
      <c r="Q997" s="105">
        <f>SUMIFS(Saidas[Valores],Saidas[Fornecedor],P997,Saidas[Data da Competência],"&gt;="&amp;RESUMO!$C$4,Saidas[Data da Competência],"&lt;"&amp;RESUMO!$D$5,Saidas[Centro de Custos],X!$E$14,Saidas[Status],X!$E$13)</f>
        <v>0</v>
      </c>
    </row>
    <row r="998">
      <c r="N998" s="105">
        <f>SUMIFS(Entradas[Valores],Entradas[Cliente],M998,Entradas[Data da Competência],"&gt;="&amp;RESUMO!$C$4,Entradas[Data da Competência],"&lt;"&amp;RESUMO!$D$5,Entradas[Centro de Custos],X!$E$14,Entradas[Status],X!$E$13)</f>
        <v>0</v>
      </c>
      <c r="Q998" s="105">
        <f>SUMIFS(Saidas[Valores],Saidas[Fornecedor],P998,Saidas[Data da Competência],"&gt;="&amp;RESUMO!$C$4,Saidas[Data da Competência],"&lt;"&amp;RESUMO!$D$5,Saidas[Centro de Custos],X!$E$14,Saidas[Status],X!$E$13)</f>
        <v>0</v>
      </c>
    </row>
    <row r="999">
      <c r="N999" s="105">
        <f>SUMIFS(Entradas[Valores],Entradas[Cliente],M999,Entradas[Data da Competência],"&gt;="&amp;RESUMO!$C$4,Entradas[Data da Competência],"&lt;"&amp;RESUMO!$D$5,Entradas[Centro de Custos],X!$E$14,Entradas[Status],X!$E$13)</f>
        <v>0</v>
      </c>
      <c r="Q999" s="105">
        <f>SUMIFS(Saidas[Valores],Saidas[Fornecedor],P999,Saidas[Data da Competência],"&gt;="&amp;RESUMO!$C$4,Saidas[Data da Competência],"&lt;"&amp;RESUMO!$D$5,Saidas[Centro de Custos],X!$E$14,Saidas[Status],X!$E$13)</f>
        <v>0</v>
      </c>
    </row>
  </sheetData>
  <mergeCells count="3">
    <mergeCell ref="A1:E1"/>
    <mergeCell ref="U2:V2"/>
    <mergeCell ref="U9:V9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4.5"/>
    <col customWidth="1" min="7" max="7" width="13.63"/>
    <col customWidth="1" min="11" max="11" width="5.5"/>
  </cols>
  <sheetData>
    <row r="1">
      <c r="A1" s="77" t="s">
        <v>238</v>
      </c>
      <c r="B1" s="77"/>
      <c r="D1" s="284" t="s">
        <v>184</v>
      </c>
      <c r="E1" s="285"/>
      <c r="G1" s="77" t="s">
        <v>239</v>
      </c>
      <c r="I1" s="77" t="s">
        <v>240</v>
      </c>
      <c r="L1" s="77" t="s">
        <v>241</v>
      </c>
      <c r="N1" s="77" t="s">
        <v>12</v>
      </c>
      <c r="P1" s="77" t="s">
        <v>242</v>
      </c>
      <c r="Q1" s="277">
        <f>DAY(TODAY())</f>
        <v>11</v>
      </c>
      <c r="S1" s="77">
        <v>1.0</v>
      </c>
      <c r="T1" s="77" t="s">
        <v>243</v>
      </c>
      <c r="V1" s="15" t="s">
        <v>244</v>
      </c>
    </row>
    <row r="2">
      <c r="A2" s="77" t="s">
        <v>173</v>
      </c>
      <c r="D2" s="286" t="s">
        <v>245</v>
      </c>
      <c r="E2" s="287" t="str">
        <f>IF('Fluxo de Caixa'!G3="Ambos","&lt;&gt;-",'Fluxo de Caixa'!G3)</f>
        <v>Previsto</v>
      </c>
      <c r="G2" s="77" t="s">
        <v>173</v>
      </c>
      <c r="I2" s="77" t="s">
        <v>173</v>
      </c>
      <c r="J2" s="77">
        <v>1.0</v>
      </c>
      <c r="L2" s="77" t="s">
        <v>173</v>
      </c>
      <c r="N2" s="77" t="s">
        <v>173</v>
      </c>
      <c r="P2" s="77" t="s">
        <v>246</v>
      </c>
      <c r="Q2" s="277">
        <f>MONTH(TODAY())</f>
        <v>8</v>
      </c>
      <c r="S2" s="77">
        <v>2.0</v>
      </c>
      <c r="T2" s="77" t="s">
        <v>247</v>
      </c>
      <c r="V2" s="288" t="str">
        <f>'Plano de Contas'!B4</f>
        <v>Receitas Operacionais</v>
      </c>
    </row>
    <row r="3">
      <c r="A3" s="277" t="str">
        <f t="array" ref="A3:A16">bancos</f>
        <v>Banco Inter</v>
      </c>
      <c r="D3" s="289" t="s">
        <v>248</v>
      </c>
      <c r="E3" s="290" t="str">
        <f>IF('Fluxo de Caixa'!I3="Todos","&lt;&gt;-",'Fluxo de Caixa'!I3)</f>
        <v>&lt;&gt;-</v>
      </c>
      <c r="G3" s="277" t="str">
        <f t="array" ref="G3:G16">CentroCustos</f>
        <v>Projeto 01</v>
      </c>
      <c r="I3" s="77" t="s">
        <v>249</v>
      </c>
      <c r="J3" s="77">
        <v>1.0</v>
      </c>
      <c r="L3" s="277" t="str">
        <f t="array" ref="L3:L6">UNIQUE(Entradas[Cliente])</f>
        <v>Rogério Ceni</v>
      </c>
      <c r="N3" s="277" t="str">
        <f t="array" ref="N3:N6">UNIQUE(Saidas[Fornecedor])</f>
        <v>Fornecedor 01</v>
      </c>
      <c r="P3" s="77" t="s">
        <v>250</v>
      </c>
      <c r="Q3" s="277">
        <f>YEAR(TODAY())</f>
        <v>2026</v>
      </c>
      <c r="S3" s="77">
        <v>3.0</v>
      </c>
      <c r="T3" s="77" t="s">
        <v>251</v>
      </c>
      <c r="V3" s="291" t="str">
        <f>'Plano de Contas'!D4</f>
        <v>Outras Receitas Operacionais</v>
      </c>
    </row>
    <row r="4">
      <c r="A4" s="277" t="s">
        <v>73</v>
      </c>
      <c r="D4" s="289" t="s">
        <v>252</v>
      </c>
      <c r="E4" s="290" t="str">
        <f>IF('Fluxo de Caixa'!L3="Todos","&lt;&gt;-",'Fluxo de Caixa'!L3)</f>
        <v>&lt;&gt;-</v>
      </c>
      <c r="G4" s="277" t="s">
        <v>77</v>
      </c>
      <c r="I4" s="77" t="s">
        <v>253</v>
      </c>
      <c r="J4" s="77">
        <v>2.0</v>
      </c>
      <c r="L4" s="277" t="s">
        <v>81</v>
      </c>
      <c r="N4" s="277" t="s">
        <v>82</v>
      </c>
      <c r="S4" s="77">
        <v>4.0</v>
      </c>
      <c r="T4" s="77" t="s">
        <v>254</v>
      </c>
      <c r="V4" s="291" t="str">
        <f>'Plano de Contas'!F4</f>
        <v>Receitas Financeiras</v>
      </c>
    </row>
    <row r="5">
      <c r="A5" s="277"/>
      <c r="B5" s="277" t="str">
        <f t="shared" ref="B5:B191" si="1">A5</f>
        <v/>
      </c>
      <c r="G5" s="277" t="s">
        <v>95</v>
      </c>
      <c r="I5" s="77" t="s">
        <v>255</v>
      </c>
      <c r="J5" s="77">
        <v>3.0</v>
      </c>
      <c r="L5" s="277" t="s">
        <v>89</v>
      </c>
      <c r="N5" s="277" t="s">
        <v>91</v>
      </c>
      <c r="P5" s="77" t="s">
        <v>256</v>
      </c>
      <c r="Q5" s="282">
        <f>DATE(Q3,Q2,1)</f>
        <v>46235</v>
      </c>
      <c r="S5" s="77">
        <v>5.0</v>
      </c>
      <c r="T5" s="77" t="s">
        <v>257</v>
      </c>
      <c r="V5" s="291" t="str">
        <f>'Plano de Contas'!H4</f>
        <v>Receitas não operacionais</v>
      </c>
    </row>
    <row r="6">
      <c r="A6" s="277"/>
      <c r="B6" s="277" t="str">
        <f t="shared" si="1"/>
        <v/>
      </c>
      <c r="D6" s="284" t="s">
        <v>258</v>
      </c>
      <c r="E6" s="285"/>
      <c r="G6" s="277" t="s">
        <v>101</v>
      </c>
      <c r="I6" s="77" t="s">
        <v>259</v>
      </c>
      <c r="J6" s="77">
        <v>4.0</v>
      </c>
      <c r="L6" s="277" t="s">
        <v>99</v>
      </c>
      <c r="N6" s="277"/>
      <c r="S6" s="77">
        <v>6.0</v>
      </c>
      <c r="T6" s="77" t="s">
        <v>260</v>
      </c>
      <c r="V6" s="292" t="str">
        <f>'Plano de Contas'!J4</f>
        <v>Deduções sobre vendas</v>
      </c>
    </row>
    <row r="7">
      <c r="A7" s="277"/>
      <c r="B7" s="277" t="str">
        <f t="shared" si="1"/>
        <v/>
      </c>
      <c r="D7" s="286" t="s">
        <v>245</v>
      </c>
      <c r="E7" s="287" t="str">
        <f>IF(DRE!H5="Ambos","&lt;&gt;-",DRE!H5)</f>
        <v>&lt;&gt;-</v>
      </c>
      <c r="G7" s="277"/>
      <c r="I7" s="77" t="s">
        <v>261</v>
      </c>
      <c r="J7" s="77">
        <v>5.0</v>
      </c>
      <c r="S7" s="77">
        <v>7.0</v>
      </c>
      <c r="T7" s="77" t="s">
        <v>262</v>
      </c>
      <c r="V7" s="292" t="str">
        <f>'Plano de Contas'!L4</f>
        <v>Custo das Vendas</v>
      </c>
    </row>
    <row r="8">
      <c r="A8" s="277"/>
      <c r="B8" s="277" t="str">
        <f t="shared" si="1"/>
        <v/>
      </c>
      <c r="D8" s="286" t="s">
        <v>248</v>
      </c>
      <c r="E8" s="287" t="str">
        <f>IF(DRE!J5="Todos","&lt;&gt;-",DRE!J5)</f>
        <v>&lt;&gt;-</v>
      </c>
      <c r="G8" s="277"/>
      <c r="I8" s="77" t="s">
        <v>263</v>
      </c>
      <c r="J8" s="77">
        <v>6.0</v>
      </c>
      <c r="V8" s="292" t="str">
        <f>'Plano de Contas'!N4</f>
        <v>Despesas administrativas</v>
      </c>
    </row>
    <row r="9">
      <c r="A9" s="277"/>
      <c r="B9" s="277" t="str">
        <f t="shared" si="1"/>
        <v/>
      </c>
      <c r="D9" s="289" t="s">
        <v>252</v>
      </c>
      <c r="E9" s="290" t="str">
        <f>IF(DRE!M5="Todos","&lt;&gt;-",DRE!M5)</f>
        <v>&lt;&gt;-</v>
      </c>
      <c r="G9" s="277"/>
      <c r="I9" s="77" t="s">
        <v>264</v>
      </c>
      <c r="J9" s="77">
        <v>7.0</v>
      </c>
      <c r="V9" s="292" t="str">
        <f>'Plano de Contas'!P4</f>
        <v>Despesa com Pessoal</v>
      </c>
    </row>
    <row r="10">
      <c r="A10" s="277"/>
      <c r="B10" s="277" t="str">
        <f t="shared" si="1"/>
        <v/>
      </c>
      <c r="G10" s="277"/>
      <c r="I10" s="77" t="s">
        <v>265</v>
      </c>
      <c r="J10" s="77">
        <v>8.0</v>
      </c>
      <c r="V10" s="292" t="str">
        <f>'Plano de Contas'!R4</f>
        <v>Despesa Comercial</v>
      </c>
    </row>
    <row r="11">
      <c r="A11" s="277"/>
      <c r="B11" s="277" t="str">
        <f t="shared" si="1"/>
        <v/>
      </c>
      <c r="G11" s="277"/>
      <c r="I11" s="77" t="s">
        <v>266</v>
      </c>
      <c r="J11" s="77">
        <v>9.0</v>
      </c>
      <c r="V11" s="292" t="str">
        <f>'Plano de Contas'!T4</f>
        <v>Despesa Financeira</v>
      </c>
    </row>
    <row r="12">
      <c r="A12" s="277"/>
      <c r="B12" s="277" t="str">
        <f t="shared" si="1"/>
        <v/>
      </c>
      <c r="D12" s="284" t="s">
        <v>267</v>
      </c>
      <c r="E12" s="285"/>
      <c r="G12" s="277"/>
      <c r="I12" s="77" t="s">
        <v>268</v>
      </c>
      <c r="J12" s="77">
        <v>10.0</v>
      </c>
      <c r="V12" s="292" t="str">
        <f>'Plano de Contas'!V4</f>
        <v>Despesas não operacionais</v>
      </c>
    </row>
    <row r="13">
      <c r="A13" s="277"/>
      <c r="B13" s="277" t="str">
        <f t="shared" si="1"/>
        <v/>
      </c>
      <c r="D13" s="286" t="s">
        <v>245</v>
      </c>
      <c r="E13" s="287" t="str">
        <f>IF(RESUMO!C7="Ambos","&lt;&gt;-",RESUMO!C7)</f>
        <v>&lt;&gt;-</v>
      </c>
      <c r="G13" s="277"/>
      <c r="I13" s="77" t="s">
        <v>269</v>
      </c>
      <c r="J13" s="77">
        <v>11.0</v>
      </c>
      <c r="V13" s="292" t="str">
        <f>'Plano de Contas'!X4</f>
        <v>Impostos</v>
      </c>
    </row>
    <row r="14">
      <c r="A14" s="277"/>
      <c r="B14" s="277" t="str">
        <f t="shared" si="1"/>
        <v/>
      </c>
      <c r="D14" s="289" t="s">
        <v>252</v>
      </c>
      <c r="E14" s="287" t="str">
        <f>IF(RESUMO!C6="Todos","&lt;&gt;-",RESUMO!C6)</f>
        <v>&lt;&gt;-</v>
      </c>
      <c r="G14" s="277"/>
      <c r="I14" s="77" t="s">
        <v>270</v>
      </c>
      <c r="J14" s="77">
        <v>12.0</v>
      </c>
      <c r="V14" s="292" t="str">
        <f>'Plano de Contas'!Z4</f>
        <v>Participação e Dividendos</v>
      </c>
    </row>
    <row r="15">
      <c r="A15" s="277"/>
      <c r="B15" s="277" t="str">
        <f t="shared" si="1"/>
        <v/>
      </c>
      <c r="D15" s="289"/>
      <c r="E15" s="290"/>
      <c r="G15" s="277"/>
      <c r="V15" s="292"/>
    </row>
    <row r="16">
      <c r="A16" s="277"/>
      <c r="B16" s="277" t="str">
        <f t="shared" si="1"/>
        <v/>
      </c>
      <c r="G16" s="277"/>
    </row>
    <row r="17">
      <c r="B17" s="277" t="str">
        <f t="shared" si="1"/>
        <v/>
      </c>
    </row>
    <row r="18">
      <c r="B18" s="277" t="str">
        <f t="shared" si="1"/>
        <v/>
      </c>
    </row>
    <row r="19">
      <c r="B19" s="277" t="str">
        <f t="shared" si="1"/>
        <v/>
      </c>
    </row>
    <row r="20">
      <c r="B20" s="277" t="str">
        <f t="shared" si="1"/>
        <v/>
      </c>
    </row>
    <row r="21">
      <c r="B21" s="277" t="str">
        <f t="shared" si="1"/>
        <v/>
      </c>
    </row>
    <row r="22">
      <c r="B22" s="277" t="str">
        <f t="shared" si="1"/>
        <v/>
      </c>
    </row>
    <row r="23">
      <c r="B23" s="277" t="str">
        <f t="shared" si="1"/>
        <v/>
      </c>
    </row>
    <row r="24">
      <c r="B24" s="277" t="str">
        <f t="shared" si="1"/>
        <v/>
      </c>
    </row>
    <row r="25">
      <c r="B25" s="277" t="str">
        <f t="shared" si="1"/>
        <v/>
      </c>
    </row>
    <row r="26">
      <c r="B26" s="277" t="str">
        <f t="shared" si="1"/>
        <v/>
      </c>
    </row>
    <row r="27">
      <c r="B27" s="277" t="str">
        <f t="shared" si="1"/>
        <v/>
      </c>
    </row>
    <row r="28">
      <c r="B28" s="277" t="str">
        <f t="shared" si="1"/>
        <v/>
      </c>
    </row>
    <row r="29">
      <c r="B29" s="277" t="str">
        <f t="shared" si="1"/>
        <v/>
      </c>
    </row>
    <row r="30">
      <c r="B30" s="277" t="str">
        <f t="shared" si="1"/>
        <v/>
      </c>
    </row>
    <row r="31">
      <c r="B31" s="277" t="str">
        <f t="shared" si="1"/>
        <v/>
      </c>
    </row>
    <row r="32">
      <c r="B32" s="277" t="str">
        <f t="shared" si="1"/>
        <v/>
      </c>
    </row>
    <row r="33">
      <c r="B33" s="277" t="str">
        <f t="shared" si="1"/>
        <v/>
      </c>
    </row>
    <row r="34">
      <c r="B34" s="277" t="str">
        <f t="shared" si="1"/>
        <v/>
      </c>
    </row>
    <row r="35">
      <c r="B35" s="277" t="str">
        <f t="shared" si="1"/>
        <v/>
      </c>
    </row>
    <row r="36">
      <c r="B36" s="277" t="str">
        <f t="shared" si="1"/>
        <v/>
      </c>
    </row>
    <row r="37">
      <c r="B37" s="277" t="str">
        <f t="shared" si="1"/>
        <v/>
      </c>
    </row>
    <row r="38">
      <c r="B38" s="277" t="str">
        <f t="shared" si="1"/>
        <v/>
      </c>
    </row>
    <row r="39">
      <c r="B39" s="277" t="str">
        <f t="shared" si="1"/>
        <v/>
      </c>
    </row>
    <row r="40">
      <c r="B40" s="277" t="str">
        <f t="shared" si="1"/>
        <v/>
      </c>
    </row>
    <row r="41">
      <c r="B41" s="277" t="str">
        <f t="shared" si="1"/>
        <v/>
      </c>
    </row>
    <row r="42">
      <c r="B42" s="277" t="str">
        <f t="shared" si="1"/>
        <v/>
      </c>
    </row>
    <row r="43">
      <c r="B43" s="277" t="str">
        <f t="shared" si="1"/>
        <v/>
      </c>
    </row>
    <row r="44">
      <c r="B44" s="277" t="str">
        <f t="shared" si="1"/>
        <v/>
      </c>
    </row>
    <row r="45">
      <c r="B45" s="277" t="str">
        <f t="shared" si="1"/>
        <v/>
      </c>
    </row>
    <row r="46">
      <c r="B46" s="277" t="str">
        <f t="shared" si="1"/>
        <v/>
      </c>
    </row>
    <row r="47">
      <c r="B47" s="277" t="str">
        <f t="shared" si="1"/>
        <v/>
      </c>
    </row>
    <row r="48">
      <c r="B48" s="277" t="str">
        <f t="shared" si="1"/>
        <v/>
      </c>
    </row>
    <row r="49">
      <c r="B49" s="277" t="str">
        <f t="shared" si="1"/>
        <v/>
      </c>
    </row>
    <row r="50">
      <c r="B50" s="277" t="str">
        <f t="shared" si="1"/>
        <v/>
      </c>
    </row>
    <row r="51">
      <c r="B51" s="277" t="str">
        <f t="shared" si="1"/>
        <v/>
      </c>
    </row>
    <row r="52">
      <c r="B52" s="277" t="str">
        <f t="shared" si="1"/>
        <v/>
      </c>
    </row>
    <row r="53">
      <c r="B53" s="277" t="str">
        <f t="shared" si="1"/>
        <v/>
      </c>
    </row>
    <row r="54">
      <c r="B54" s="277" t="str">
        <f t="shared" si="1"/>
        <v/>
      </c>
    </row>
    <row r="55">
      <c r="B55" s="277" t="str">
        <f t="shared" si="1"/>
        <v/>
      </c>
    </row>
    <row r="56">
      <c r="B56" s="277" t="str">
        <f t="shared" si="1"/>
        <v/>
      </c>
    </row>
    <row r="57">
      <c r="B57" s="277" t="str">
        <f t="shared" si="1"/>
        <v/>
      </c>
    </row>
    <row r="58">
      <c r="B58" s="277" t="str">
        <f t="shared" si="1"/>
        <v/>
      </c>
    </row>
    <row r="59">
      <c r="B59" s="277" t="str">
        <f t="shared" si="1"/>
        <v/>
      </c>
    </row>
    <row r="60">
      <c r="B60" s="277" t="str">
        <f t="shared" si="1"/>
        <v/>
      </c>
    </row>
    <row r="61">
      <c r="B61" s="277" t="str">
        <f t="shared" si="1"/>
        <v/>
      </c>
    </row>
    <row r="62">
      <c r="B62" s="277" t="str">
        <f t="shared" si="1"/>
        <v/>
      </c>
    </row>
    <row r="63">
      <c r="B63" s="277" t="str">
        <f t="shared" si="1"/>
        <v/>
      </c>
    </row>
    <row r="64">
      <c r="B64" s="277" t="str">
        <f t="shared" si="1"/>
        <v/>
      </c>
    </row>
    <row r="65">
      <c r="B65" s="277" t="str">
        <f t="shared" si="1"/>
        <v/>
      </c>
    </row>
    <row r="66">
      <c r="B66" s="277" t="str">
        <f t="shared" si="1"/>
        <v/>
      </c>
    </row>
    <row r="67">
      <c r="B67" s="277" t="str">
        <f t="shared" si="1"/>
        <v/>
      </c>
    </row>
    <row r="68">
      <c r="B68" s="277" t="str">
        <f t="shared" si="1"/>
        <v/>
      </c>
    </row>
    <row r="69">
      <c r="B69" s="277" t="str">
        <f t="shared" si="1"/>
        <v/>
      </c>
    </row>
    <row r="70">
      <c r="B70" s="277" t="str">
        <f t="shared" si="1"/>
        <v/>
      </c>
    </row>
    <row r="71">
      <c r="B71" s="277" t="str">
        <f t="shared" si="1"/>
        <v/>
      </c>
    </row>
    <row r="72">
      <c r="B72" s="277" t="str">
        <f t="shared" si="1"/>
        <v/>
      </c>
    </row>
    <row r="73">
      <c r="B73" s="277" t="str">
        <f t="shared" si="1"/>
        <v/>
      </c>
    </row>
    <row r="74">
      <c r="B74" s="277" t="str">
        <f t="shared" si="1"/>
        <v/>
      </c>
    </row>
    <row r="75">
      <c r="B75" s="277" t="str">
        <f t="shared" si="1"/>
        <v/>
      </c>
    </row>
    <row r="76">
      <c r="B76" s="277" t="str">
        <f t="shared" si="1"/>
        <v/>
      </c>
    </row>
    <row r="77">
      <c r="B77" s="277" t="str">
        <f t="shared" si="1"/>
        <v/>
      </c>
    </row>
    <row r="78">
      <c r="B78" s="277" t="str">
        <f t="shared" si="1"/>
        <v/>
      </c>
    </row>
    <row r="79">
      <c r="B79" s="277" t="str">
        <f t="shared" si="1"/>
        <v/>
      </c>
    </row>
    <row r="80">
      <c r="B80" s="277" t="str">
        <f t="shared" si="1"/>
        <v/>
      </c>
    </row>
    <row r="81">
      <c r="B81" s="277" t="str">
        <f t="shared" si="1"/>
        <v/>
      </c>
    </row>
    <row r="82">
      <c r="B82" s="277" t="str">
        <f t="shared" si="1"/>
        <v/>
      </c>
    </row>
    <row r="83">
      <c r="B83" s="277" t="str">
        <f t="shared" si="1"/>
        <v/>
      </c>
    </row>
    <row r="84">
      <c r="B84" s="277" t="str">
        <f t="shared" si="1"/>
        <v/>
      </c>
    </row>
    <row r="85">
      <c r="B85" s="277" t="str">
        <f t="shared" si="1"/>
        <v/>
      </c>
    </row>
    <row r="86">
      <c r="B86" s="277" t="str">
        <f t="shared" si="1"/>
        <v/>
      </c>
    </row>
    <row r="87">
      <c r="B87" s="277" t="str">
        <f t="shared" si="1"/>
        <v/>
      </c>
    </row>
    <row r="88">
      <c r="B88" s="277" t="str">
        <f t="shared" si="1"/>
        <v/>
      </c>
    </row>
    <row r="89">
      <c r="B89" s="277" t="str">
        <f t="shared" si="1"/>
        <v/>
      </c>
    </row>
    <row r="90">
      <c r="B90" s="277" t="str">
        <f t="shared" si="1"/>
        <v/>
      </c>
    </row>
    <row r="91">
      <c r="B91" s="277" t="str">
        <f t="shared" si="1"/>
        <v/>
      </c>
    </row>
    <row r="92">
      <c r="B92" s="277" t="str">
        <f t="shared" si="1"/>
        <v/>
      </c>
    </row>
    <row r="93">
      <c r="B93" s="277" t="str">
        <f t="shared" si="1"/>
        <v/>
      </c>
    </row>
    <row r="94">
      <c r="B94" s="277" t="str">
        <f t="shared" si="1"/>
        <v/>
      </c>
    </row>
    <row r="95">
      <c r="B95" s="277" t="str">
        <f t="shared" si="1"/>
        <v/>
      </c>
    </row>
    <row r="96">
      <c r="B96" s="277" t="str">
        <f t="shared" si="1"/>
        <v/>
      </c>
    </row>
    <row r="97">
      <c r="B97" s="277" t="str">
        <f t="shared" si="1"/>
        <v/>
      </c>
    </row>
    <row r="98">
      <c r="B98" s="277" t="str">
        <f t="shared" si="1"/>
        <v/>
      </c>
    </row>
    <row r="99">
      <c r="B99" s="277" t="str">
        <f t="shared" si="1"/>
        <v/>
      </c>
    </row>
    <row r="100">
      <c r="B100" s="277" t="str">
        <f t="shared" si="1"/>
        <v/>
      </c>
    </row>
    <row r="101">
      <c r="B101" s="277" t="str">
        <f t="shared" si="1"/>
        <v/>
      </c>
    </row>
    <row r="102">
      <c r="B102" s="277" t="str">
        <f t="shared" si="1"/>
        <v/>
      </c>
    </row>
    <row r="103">
      <c r="B103" s="277" t="str">
        <f t="shared" si="1"/>
        <v/>
      </c>
    </row>
    <row r="104">
      <c r="B104" s="277" t="str">
        <f t="shared" si="1"/>
        <v/>
      </c>
    </row>
    <row r="105">
      <c r="B105" s="277" t="str">
        <f t="shared" si="1"/>
        <v/>
      </c>
    </row>
    <row r="106">
      <c r="B106" s="277" t="str">
        <f t="shared" si="1"/>
        <v/>
      </c>
    </row>
    <row r="107">
      <c r="B107" s="277" t="str">
        <f t="shared" si="1"/>
        <v/>
      </c>
    </row>
    <row r="108">
      <c r="B108" s="277" t="str">
        <f t="shared" si="1"/>
        <v/>
      </c>
    </row>
    <row r="109">
      <c r="B109" s="277" t="str">
        <f t="shared" si="1"/>
        <v/>
      </c>
    </row>
    <row r="110">
      <c r="B110" s="277" t="str">
        <f t="shared" si="1"/>
        <v/>
      </c>
    </row>
    <row r="111">
      <c r="B111" s="277" t="str">
        <f t="shared" si="1"/>
        <v/>
      </c>
    </row>
    <row r="112">
      <c r="B112" s="277" t="str">
        <f t="shared" si="1"/>
        <v/>
      </c>
    </row>
    <row r="113">
      <c r="B113" s="277" t="str">
        <f t="shared" si="1"/>
        <v/>
      </c>
    </row>
    <row r="114">
      <c r="B114" s="277" t="str">
        <f t="shared" si="1"/>
        <v/>
      </c>
    </row>
    <row r="115">
      <c r="B115" s="277" t="str">
        <f t="shared" si="1"/>
        <v/>
      </c>
    </row>
    <row r="116">
      <c r="B116" s="277" t="str">
        <f t="shared" si="1"/>
        <v/>
      </c>
    </row>
    <row r="117">
      <c r="B117" s="277" t="str">
        <f t="shared" si="1"/>
        <v/>
      </c>
    </row>
    <row r="118">
      <c r="B118" s="277" t="str">
        <f t="shared" si="1"/>
        <v/>
      </c>
    </row>
    <row r="119">
      <c r="B119" s="277" t="str">
        <f t="shared" si="1"/>
        <v/>
      </c>
    </row>
    <row r="120">
      <c r="B120" s="277" t="str">
        <f t="shared" si="1"/>
        <v/>
      </c>
    </row>
    <row r="121">
      <c r="B121" s="277" t="str">
        <f t="shared" si="1"/>
        <v/>
      </c>
    </row>
    <row r="122">
      <c r="B122" s="277" t="str">
        <f t="shared" si="1"/>
        <v/>
      </c>
    </row>
    <row r="123">
      <c r="B123" s="277" t="str">
        <f t="shared" si="1"/>
        <v/>
      </c>
    </row>
    <row r="124">
      <c r="B124" s="277" t="str">
        <f t="shared" si="1"/>
        <v/>
      </c>
    </row>
    <row r="125">
      <c r="B125" s="277" t="str">
        <f t="shared" si="1"/>
        <v/>
      </c>
    </row>
    <row r="126">
      <c r="B126" s="277" t="str">
        <f t="shared" si="1"/>
        <v/>
      </c>
    </row>
    <row r="127">
      <c r="B127" s="277" t="str">
        <f t="shared" si="1"/>
        <v/>
      </c>
    </row>
    <row r="128">
      <c r="B128" s="277" t="str">
        <f t="shared" si="1"/>
        <v/>
      </c>
    </row>
    <row r="129">
      <c r="B129" s="277" t="str">
        <f t="shared" si="1"/>
        <v/>
      </c>
    </row>
    <row r="130">
      <c r="B130" s="277" t="str">
        <f t="shared" si="1"/>
        <v/>
      </c>
    </row>
    <row r="131">
      <c r="B131" s="277" t="str">
        <f t="shared" si="1"/>
        <v/>
      </c>
    </row>
    <row r="132">
      <c r="B132" s="277" t="str">
        <f t="shared" si="1"/>
        <v/>
      </c>
    </row>
    <row r="133">
      <c r="B133" s="277" t="str">
        <f t="shared" si="1"/>
        <v/>
      </c>
    </row>
    <row r="134">
      <c r="B134" s="277" t="str">
        <f t="shared" si="1"/>
        <v/>
      </c>
    </row>
    <row r="135">
      <c r="B135" s="277" t="str">
        <f t="shared" si="1"/>
        <v/>
      </c>
    </row>
    <row r="136">
      <c r="B136" s="277" t="str">
        <f t="shared" si="1"/>
        <v/>
      </c>
    </row>
    <row r="137">
      <c r="B137" s="277" t="str">
        <f t="shared" si="1"/>
        <v/>
      </c>
    </row>
    <row r="138">
      <c r="B138" s="277" t="str">
        <f t="shared" si="1"/>
        <v/>
      </c>
    </row>
    <row r="139">
      <c r="B139" s="277" t="str">
        <f t="shared" si="1"/>
        <v/>
      </c>
    </row>
    <row r="140">
      <c r="B140" s="277" t="str">
        <f t="shared" si="1"/>
        <v/>
      </c>
    </row>
    <row r="141">
      <c r="B141" s="277" t="str">
        <f t="shared" si="1"/>
        <v/>
      </c>
    </row>
    <row r="142">
      <c r="B142" s="277" t="str">
        <f t="shared" si="1"/>
        <v/>
      </c>
    </row>
    <row r="143">
      <c r="B143" s="277" t="str">
        <f t="shared" si="1"/>
        <v/>
      </c>
    </row>
    <row r="144">
      <c r="B144" s="277" t="str">
        <f t="shared" si="1"/>
        <v/>
      </c>
    </row>
    <row r="145">
      <c r="B145" s="277" t="str">
        <f t="shared" si="1"/>
        <v/>
      </c>
    </row>
    <row r="146">
      <c r="B146" s="277" t="str">
        <f t="shared" si="1"/>
        <v/>
      </c>
    </row>
    <row r="147">
      <c r="B147" s="277" t="str">
        <f t="shared" si="1"/>
        <v/>
      </c>
    </row>
    <row r="148">
      <c r="B148" s="277" t="str">
        <f t="shared" si="1"/>
        <v/>
      </c>
    </row>
    <row r="149">
      <c r="B149" s="277" t="str">
        <f t="shared" si="1"/>
        <v/>
      </c>
    </row>
    <row r="150">
      <c r="B150" s="277" t="str">
        <f t="shared" si="1"/>
        <v/>
      </c>
    </row>
    <row r="151">
      <c r="B151" s="277" t="str">
        <f t="shared" si="1"/>
        <v/>
      </c>
    </row>
    <row r="152">
      <c r="B152" s="277" t="str">
        <f t="shared" si="1"/>
        <v/>
      </c>
    </row>
    <row r="153">
      <c r="B153" s="277" t="str">
        <f t="shared" si="1"/>
        <v/>
      </c>
    </row>
    <row r="154">
      <c r="B154" s="277" t="str">
        <f t="shared" si="1"/>
        <v/>
      </c>
    </row>
    <row r="155">
      <c r="B155" s="277" t="str">
        <f t="shared" si="1"/>
        <v/>
      </c>
    </row>
    <row r="156">
      <c r="B156" s="277" t="str">
        <f t="shared" si="1"/>
        <v/>
      </c>
    </row>
    <row r="157">
      <c r="B157" s="277" t="str">
        <f t="shared" si="1"/>
        <v/>
      </c>
    </row>
    <row r="158">
      <c r="B158" s="277" t="str">
        <f t="shared" si="1"/>
        <v/>
      </c>
    </row>
    <row r="159">
      <c r="B159" s="277" t="str">
        <f t="shared" si="1"/>
        <v/>
      </c>
    </row>
    <row r="160">
      <c r="B160" s="277" t="str">
        <f t="shared" si="1"/>
        <v/>
      </c>
    </row>
    <row r="161">
      <c r="B161" s="277" t="str">
        <f t="shared" si="1"/>
        <v/>
      </c>
    </row>
    <row r="162">
      <c r="B162" s="277" t="str">
        <f t="shared" si="1"/>
        <v/>
      </c>
    </row>
    <row r="163">
      <c r="B163" s="277" t="str">
        <f t="shared" si="1"/>
        <v/>
      </c>
    </row>
    <row r="164">
      <c r="B164" s="277" t="str">
        <f t="shared" si="1"/>
        <v/>
      </c>
    </row>
    <row r="165">
      <c r="B165" s="277" t="str">
        <f t="shared" si="1"/>
        <v/>
      </c>
    </row>
    <row r="166">
      <c r="B166" s="277" t="str">
        <f t="shared" si="1"/>
        <v/>
      </c>
    </row>
    <row r="167">
      <c r="B167" s="277" t="str">
        <f t="shared" si="1"/>
        <v/>
      </c>
    </row>
    <row r="168">
      <c r="B168" s="277" t="str">
        <f t="shared" si="1"/>
        <v/>
      </c>
    </row>
    <row r="169">
      <c r="B169" s="277" t="str">
        <f t="shared" si="1"/>
        <v/>
      </c>
    </row>
    <row r="170">
      <c r="B170" s="277" t="str">
        <f t="shared" si="1"/>
        <v/>
      </c>
    </row>
    <row r="171">
      <c r="B171" s="277" t="str">
        <f t="shared" si="1"/>
        <v/>
      </c>
    </row>
    <row r="172">
      <c r="B172" s="277" t="str">
        <f t="shared" si="1"/>
        <v/>
      </c>
    </row>
    <row r="173">
      <c r="B173" s="277" t="str">
        <f t="shared" si="1"/>
        <v/>
      </c>
    </row>
    <row r="174">
      <c r="B174" s="277" t="str">
        <f t="shared" si="1"/>
        <v/>
      </c>
    </row>
    <row r="175">
      <c r="B175" s="277" t="str">
        <f t="shared" si="1"/>
        <v/>
      </c>
    </row>
    <row r="176">
      <c r="B176" s="277" t="str">
        <f t="shared" si="1"/>
        <v/>
      </c>
    </row>
    <row r="177">
      <c r="B177" s="277" t="str">
        <f t="shared" si="1"/>
        <v/>
      </c>
    </row>
    <row r="178">
      <c r="B178" s="277" t="str">
        <f t="shared" si="1"/>
        <v/>
      </c>
    </row>
    <row r="179">
      <c r="B179" s="277" t="str">
        <f t="shared" si="1"/>
        <v/>
      </c>
    </row>
    <row r="180">
      <c r="B180" s="277" t="str">
        <f t="shared" si="1"/>
        <v/>
      </c>
    </row>
    <row r="181">
      <c r="B181" s="277" t="str">
        <f t="shared" si="1"/>
        <v/>
      </c>
    </row>
    <row r="182">
      <c r="B182" s="277" t="str">
        <f t="shared" si="1"/>
        <v/>
      </c>
    </row>
    <row r="183">
      <c r="B183" s="277" t="str">
        <f t="shared" si="1"/>
        <v/>
      </c>
    </row>
    <row r="184">
      <c r="B184" s="277" t="str">
        <f t="shared" si="1"/>
        <v/>
      </c>
    </row>
    <row r="185">
      <c r="B185" s="277" t="str">
        <f t="shared" si="1"/>
        <v/>
      </c>
    </row>
    <row r="186">
      <c r="B186" s="277" t="str">
        <f t="shared" si="1"/>
        <v/>
      </c>
    </row>
    <row r="187">
      <c r="B187" s="277" t="str">
        <f t="shared" si="1"/>
        <v/>
      </c>
    </row>
    <row r="188">
      <c r="B188" s="277" t="str">
        <f t="shared" si="1"/>
        <v/>
      </c>
    </row>
    <row r="189">
      <c r="B189" s="277" t="str">
        <f t="shared" si="1"/>
        <v/>
      </c>
    </row>
    <row r="190">
      <c r="B190" s="277" t="str">
        <f t="shared" si="1"/>
        <v/>
      </c>
    </row>
    <row r="191">
      <c r="B191" s="277" t="str">
        <f t="shared" si="1"/>
        <v/>
      </c>
    </row>
  </sheetData>
  <mergeCells count="1">
    <mergeCell ref="I1:J1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24.5"/>
    <col customWidth="1" min="3" max="3" width="17.25"/>
    <col customWidth="1" min="4" max="4" width="2.63"/>
    <col customWidth="1" min="5" max="5" width="24.13"/>
    <col customWidth="1" min="6" max="6" width="18.63"/>
    <col customWidth="1" min="7" max="7" width="12.13"/>
    <col customWidth="1" min="8" max="8" width="2.88"/>
  </cols>
  <sheetData>
    <row r="1" ht="8.25" customHeight="1">
      <c r="A1" s="9"/>
      <c r="B1" s="9"/>
      <c r="C1" s="9"/>
      <c r="D1" s="108"/>
      <c r="E1" s="122"/>
      <c r="F1" s="123"/>
      <c r="G1" s="293"/>
      <c r="H1" s="9"/>
    </row>
    <row r="2" ht="19.5" customHeight="1">
      <c r="A2" s="9"/>
      <c r="B2" s="81"/>
      <c r="C2" s="81"/>
      <c r="D2" s="81"/>
      <c r="E2" s="233"/>
      <c r="F2" s="233"/>
      <c r="G2" s="294"/>
    </row>
    <row r="3" ht="19.5" customHeight="1">
      <c r="A3" s="9"/>
      <c r="B3" s="81"/>
      <c r="C3" s="81"/>
      <c r="D3" s="81"/>
      <c r="E3" s="233"/>
      <c r="F3" s="233"/>
      <c r="G3" s="294"/>
    </row>
    <row r="4" ht="19.5" customHeight="1">
      <c r="A4" s="9"/>
      <c r="B4" s="81" t="s">
        <v>195</v>
      </c>
      <c r="D4" s="81"/>
      <c r="E4" s="133" t="s">
        <v>194</v>
      </c>
      <c r="F4" s="12"/>
      <c r="G4" s="12"/>
    </row>
    <row r="5">
      <c r="A5" s="9"/>
      <c r="B5" s="75"/>
      <c r="C5" s="76"/>
      <c r="E5" s="131"/>
      <c r="F5" s="295" t="s">
        <v>149</v>
      </c>
      <c r="G5" s="296" t="s">
        <v>145</v>
      </c>
    </row>
    <row r="6">
      <c r="A6" s="9"/>
      <c r="B6" s="82" t="s">
        <v>197</v>
      </c>
      <c r="C6" s="138">
        <v>45566.0</v>
      </c>
      <c r="E6" s="131" t="str">
        <f>X!$V$6</f>
        <v>Deduções sobre vendas</v>
      </c>
      <c r="F6" s="132">
        <f>SUMIFS(Saidas[Valores],Saidas[Data da Competência],"&gt;="&amp;$C$6,Saidas[Data da Competência],"&lt;"&amp;$C$7,Saidas[Categoria],$E6,Saidas[Status],"Previsto",Saidas[Centro de Custos],X!$E$14)</f>
        <v>0</v>
      </c>
      <c r="G6" s="297">
        <f>SUMIFS(Saidas[Valores],Saidas[Data da Competência],"&gt;="&amp;$C$6,Saidas[Data da Competência],"&lt;"&amp;$C$7,Saidas[Categoria],$E6,Saidas[Status],"Realizado",Saidas[Centro de Custos],X!$E$14)</f>
        <v>0</v>
      </c>
    </row>
    <row r="7">
      <c r="A7" s="9"/>
      <c r="B7" s="82" t="s">
        <v>198</v>
      </c>
      <c r="C7" s="138">
        <v>45658.0</v>
      </c>
      <c r="D7" s="298"/>
      <c r="E7" s="131" t="str">
        <f>X!$V$7</f>
        <v>Custo das Vendas</v>
      </c>
      <c r="F7" s="132">
        <f>SUMIFS(Saidas[Valores],Saidas[Data da Competência],"&gt;="&amp;$C$6,Saidas[Data da Competência],"&lt;"&amp;$C$7,Saidas[Categoria],$E7,Saidas[Status],"Previsto",Saidas[Centro de Custos],X!$E$14)</f>
        <v>0</v>
      </c>
      <c r="G7" s="297">
        <f>SUMIFS(Saidas[Valores],Saidas[Data da Competência],"&gt;="&amp;$C$6,Saidas[Data da Competência],"&lt;"&amp;$C$7,Saidas[Categoria],$E7,Saidas[Status],"Realizado",Saidas[Centro de Custos],X!$E$14)</f>
        <v>0</v>
      </c>
    </row>
    <row r="8">
      <c r="A8" s="9"/>
      <c r="B8" s="89" t="s">
        <v>176</v>
      </c>
      <c r="C8" s="83" t="s">
        <v>173</v>
      </c>
      <c r="D8" s="127"/>
      <c r="E8" s="131" t="str">
        <f>X!$V$8</f>
        <v>Despesas administrativas</v>
      </c>
      <c r="F8" s="132">
        <f>SUMIFS(Saidas[Valores],Saidas[Data da Competência],"&gt;="&amp;$C$6,Saidas[Data da Competência],"&lt;"&amp;$C$7,Saidas[Categoria],$E8,Saidas[Status],"Previsto",Saidas[Centro de Custos],X!$E$14)</f>
        <v>0</v>
      </c>
      <c r="G8" s="297">
        <f>SUMIFS(Saidas[Valores],Saidas[Data da Competência],"&gt;="&amp;$C$6,Saidas[Data da Competência],"&lt;"&amp;$C$7,Saidas[Categoria],$E8,Saidas[Status],"Realizado",Saidas[Centro de Custos],X!$E$14)</f>
        <v>0</v>
      </c>
    </row>
    <row r="9">
      <c r="A9" s="9"/>
      <c r="B9" s="82" t="s">
        <v>185</v>
      </c>
      <c r="C9" s="87" t="s">
        <v>191</v>
      </c>
      <c r="D9" s="144"/>
      <c r="E9" s="131" t="str">
        <f>X!$V$9</f>
        <v>Despesa com Pessoal</v>
      </c>
      <c r="F9" s="132">
        <f>SUMIFS(Saidas[Valores],Saidas[Data da Competência],"&gt;="&amp;$C$6,Saidas[Data da Competência],"&lt;"&amp;$C$7,Saidas[Categoria],$E9,Saidas[Status],"Previsto",Saidas[Centro de Custos],X!$E$14)</f>
        <v>0</v>
      </c>
      <c r="G9" s="297">
        <f>SUMIFS(Saidas[Valores],Saidas[Data da Competência],"&gt;="&amp;$C$6,Saidas[Data da Competência],"&lt;"&amp;$C$7,Saidas[Categoria],$E9,Saidas[Status],"Realizado",Saidas[Centro de Custos],X!$E$14)</f>
        <v>0</v>
      </c>
    </row>
    <row r="10">
      <c r="A10" s="9"/>
      <c r="B10" s="145"/>
      <c r="C10" s="146"/>
      <c r="D10" s="145"/>
      <c r="E10" s="131" t="str">
        <f>X!$V$11</f>
        <v>Despesa Financeira</v>
      </c>
      <c r="F10" s="132">
        <f>SUMIFS(Saidas[Valores],Saidas[Data da Competência],"&gt;="&amp;$C$6,Saidas[Data da Competência],"&lt;"&amp;$C$7,Saidas[Categoria],$E10,Saidas[Status],"Previsto",Saidas[Centro de Custos],X!$E$14)</f>
        <v>0</v>
      </c>
      <c r="G10" s="297">
        <f>SUMIFS(Saidas[Valores],Saidas[Data da Competência],"&gt;="&amp;$C$6,Saidas[Data da Competência],"&lt;"&amp;$C$7,Saidas[Categoria],$E10,Saidas[Status],"Realizado",Saidas[Centro de Custos],X!$E$14)</f>
        <v>0</v>
      </c>
    </row>
    <row r="11">
      <c r="A11" s="9"/>
      <c r="B11" s="299"/>
      <c r="C11" s="299"/>
      <c r="D11" s="145"/>
      <c r="E11" s="131" t="str">
        <f>X!$V$12</f>
        <v>Despesas não operacionais</v>
      </c>
      <c r="F11" s="132">
        <f>SUMIFS(Saidas[Valores],Saidas[Data da Competência],"&gt;="&amp;$C$6,Saidas[Data da Competência],"&lt;"&amp;$C$7,Saidas[Categoria],$E11,Saidas[Status],"Previsto",Saidas[Centro de Custos],X!$E$14)</f>
        <v>0</v>
      </c>
      <c r="G11" s="297">
        <f>SUMIFS(Saidas[Valores],Saidas[Data da Competência],"&gt;="&amp;$C$6,Saidas[Data da Competência],"&lt;"&amp;$C$7,Saidas[Categoria],$E11,Saidas[Status],"Realizado",Saidas[Centro de Custos],X!$E$14)</f>
        <v>0</v>
      </c>
    </row>
    <row r="12">
      <c r="A12" s="9"/>
      <c r="B12" s="299"/>
      <c r="C12" s="299"/>
      <c r="D12" s="145"/>
      <c r="E12" s="131" t="str">
        <f>X!$V$4</f>
        <v>Receitas Financeiras</v>
      </c>
      <c r="F12" s="132">
        <f>SUMIFS(Saidas[Valores],Saidas[Data da Competência],"&gt;="&amp;$C$6,Saidas[Data da Competência],"&lt;"&amp;$C$7,Saidas[Categoria],$E12,Saidas[Status],"Previsto",Saidas[Centro de Custos],X!$E$14)</f>
        <v>0</v>
      </c>
      <c r="G12" s="297">
        <f>SUMIFS(Saidas[Valores],Saidas[Data da Competência],"&gt;="&amp;$C$6,Saidas[Data da Competência],"&lt;"&amp;$C$7,Saidas[Categoria],$E12,Saidas[Status],"Realizado",Saidas[Centro de Custos],X!$E$14)</f>
        <v>0</v>
      </c>
      <c r="H12" s="158"/>
    </row>
    <row r="13">
      <c r="A13" s="9"/>
      <c r="B13" s="299"/>
      <c r="C13" s="299"/>
      <c r="D13" s="145"/>
      <c r="E13" s="131" t="str">
        <f>X!$V$13</f>
        <v>Impostos</v>
      </c>
      <c r="F13" s="132">
        <f>SUMIFS(Saidas[Valores],Saidas[Data da Competência],"&gt;="&amp;$C$6,Saidas[Data da Competência],"&lt;"&amp;$C$7,Saidas[Categoria],$E13,Saidas[Status],"Previsto",Saidas[Centro de Custos],X!$E$14)</f>
        <v>0</v>
      </c>
      <c r="G13" s="297">
        <f>SUMIFS(Saidas[Valores],Saidas[Data da Competência],"&gt;="&amp;$C$6,Saidas[Data da Competência],"&lt;"&amp;$C$7,Saidas[Categoria],$E13,Saidas[Status],"Realizado",Saidas[Centro de Custos],X!$E$14)</f>
        <v>0</v>
      </c>
    </row>
    <row r="14">
      <c r="A14" s="9"/>
      <c r="B14" s="299"/>
      <c r="C14" s="299"/>
      <c r="D14" s="145"/>
      <c r="E14" s="236" t="str">
        <f>X!$V$14</f>
        <v>Participação e Dividendos</v>
      </c>
      <c r="F14" s="300">
        <f>SUMIFS(Saidas[Valores],Saidas[Data da Competência],"&gt;="&amp;$C$6,Saidas[Data da Competência],"&lt;"&amp;$C$7,Saidas[Categoria],$E14,Saidas[Status],X!$E$13,Saidas[Centro de Custos],X!$E$14)</f>
        <v>0</v>
      </c>
      <c r="G14" s="297">
        <f>SUMIFS(Saidas[Valores],Saidas[Data da Competência],"&gt;="&amp;$C$6,Saidas[Data da Competência],"&lt;"&amp;$C$7,Saidas[Categoria],$E14,Saidas[Status],"Realizado",Saidas[Centro de Custos],X!$E$14)</f>
        <v>0</v>
      </c>
    </row>
    <row r="15">
      <c r="A15" s="9"/>
      <c r="B15" s="299"/>
      <c r="C15" s="299"/>
      <c r="D15" s="145"/>
      <c r="G15" s="105"/>
    </row>
    <row r="16">
      <c r="A16" s="9"/>
      <c r="B16" s="299"/>
      <c r="C16" s="299"/>
      <c r="D16" s="145"/>
      <c r="E16" s="237"/>
      <c r="F16" s="145"/>
      <c r="G16" s="301"/>
    </row>
    <row r="17">
      <c r="A17" s="9"/>
      <c r="B17" s="299"/>
      <c r="C17" s="299"/>
      <c r="D17" s="145"/>
      <c r="E17" s="238"/>
      <c r="F17" s="145"/>
      <c r="G17" s="301"/>
    </row>
    <row r="18">
      <c r="A18" s="9"/>
      <c r="B18" s="299"/>
      <c r="C18" s="299"/>
      <c r="D18" s="145"/>
      <c r="E18" s="239"/>
      <c r="F18" s="204"/>
      <c r="G18" s="302"/>
    </row>
    <row r="19">
      <c r="A19" s="9"/>
      <c r="B19" s="299"/>
      <c r="C19" s="299"/>
      <c r="D19" s="145"/>
      <c r="G19" s="105"/>
    </row>
    <row r="20">
      <c r="A20" s="9"/>
      <c r="B20" s="299"/>
      <c r="C20" s="299"/>
      <c r="D20" s="145"/>
      <c r="G20" s="105"/>
      <c r="H20" s="145"/>
    </row>
    <row r="21">
      <c r="A21" s="9"/>
      <c r="B21" s="145"/>
      <c r="C21" s="145"/>
      <c r="D21" s="145"/>
      <c r="G21" s="105"/>
      <c r="H21" s="145"/>
    </row>
    <row r="22">
      <c r="A22" s="9"/>
      <c r="B22" s="145"/>
      <c r="C22" s="145"/>
      <c r="D22" s="145"/>
      <c r="G22" s="105"/>
      <c r="H22" s="145"/>
    </row>
    <row r="23">
      <c r="A23" s="9"/>
      <c r="B23" s="145"/>
      <c r="C23" s="145"/>
      <c r="D23" s="145"/>
      <c r="G23" s="105"/>
      <c r="H23" s="145"/>
    </row>
    <row r="24">
      <c r="A24" s="9"/>
      <c r="B24" s="145"/>
      <c r="C24" s="145"/>
      <c r="D24" s="145"/>
      <c r="E24" s="145"/>
      <c r="F24" s="145"/>
      <c r="G24" s="301"/>
      <c r="H24" s="145"/>
    </row>
    <row r="25">
      <c r="A25" s="9"/>
      <c r="B25" s="145"/>
      <c r="C25" s="145"/>
      <c r="D25" s="145"/>
      <c r="E25" s="145"/>
      <c r="F25" s="145"/>
      <c r="G25" s="301"/>
      <c r="H25" s="145"/>
    </row>
    <row r="26">
      <c r="A26" s="9"/>
      <c r="B26" s="193" t="s">
        <v>221</v>
      </c>
      <c r="C26" s="12"/>
      <c r="E26" s="193" t="s">
        <v>222</v>
      </c>
      <c r="F26" s="12"/>
      <c r="G26" s="301"/>
      <c r="H26" s="145"/>
    </row>
    <row r="27">
      <c r="A27" s="9"/>
      <c r="B27" s="194" t="str">
        <f>IFERROR(__xludf.DUMMYFUNCTION("SORT(FILTER(XX!$M$2:$N1501,XX!$M$2:$M1501&lt;&gt;""""),2,FALSE)"),"Luiz Castro")</f>
        <v>Luiz Castro</v>
      </c>
      <c r="C27" s="195">
        <f>IFERROR(__xludf.DUMMYFUNCTION("""COMPUTED_VALUE"""),9500.0)</f>
        <v>9500</v>
      </c>
      <c r="E27" s="194" t="str">
        <f>IFERROR(__xludf.DUMMYFUNCTION("SORT(FILTER(XX!$P$2:$Q1501,XX!$P$2:P1501&lt;&gt;""""),2,FALSE)"),"Fornecedor 01")</f>
        <v>Fornecedor 01</v>
      </c>
      <c r="F27" s="195">
        <f>IFERROR(__xludf.DUMMYFUNCTION("""COMPUTED_VALUE"""),40713.0)</f>
        <v>40713</v>
      </c>
      <c r="G27" s="301"/>
      <c r="H27" s="145"/>
    </row>
    <row r="28">
      <c r="A28" s="9"/>
      <c r="B28" s="201" t="str">
        <f>IFERROR(__xludf.DUMMYFUNCTION("""COMPUTED_VALUE"""),"Rafael Paiva")</f>
        <v>Rafael Paiva</v>
      </c>
      <c r="C28" s="203">
        <f>IFERROR(__xludf.DUMMYFUNCTION("""COMPUTED_VALUE"""),9400.0)</f>
        <v>9400</v>
      </c>
      <c r="E28" s="201" t="str">
        <f>IFERROR(__xludf.DUMMYFUNCTION("""COMPUTED_VALUE"""),"Fornecedor 03")</f>
        <v>Fornecedor 03</v>
      </c>
      <c r="F28" s="203">
        <f>IFERROR(__xludf.DUMMYFUNCTION("""COMPUTED_VALUE"""),11740.0)</f>
        <v>11740</v>
      </c>
      <c r="G28" s="302"/>
      <c r="H28" s="204"/>
    </row>
    <row r="29">
      <c r="A29" s="9"/>
      <c r="B29" s="201" t="str">
        <f>IFERROR(__xludf.DUMMYFUNCTION("""COMPUTED_VALUE"""),"Rogério Ceni")</f>
        <v>Rogério Ceni</v>
      </c>
      <c r="C29" s="203">
        <f>IFERROR(__xludf.DUMMYFUNCTION("""COMPUTED_VALUE"""),9200.0)</f>
        <v>9200</v>
      </c>
      <c r="E29" s="201" t="str">
        <f>IFERROR(__xludf.DUMMYFUNCTION("""COMPUTED_VALUE"""),"Fornecedor 02")</f>
        <v>Fornecedor 02</v>
      </c>
      <c r="F29" s="203">
        <f>IFERROR(__xludf.DUMMYFUNCTION("""COMPUTED_VALUE"""),5135.0)</f>
        <v>5135</v>
      </c>
      <c r="G29" s="303"/>
      <c r="H29" s="210"/>
    </row>
    <row r="30">
      <c r="A30" s="9"/>
      <c r="B30" s="201" t="str">
        <f>IFERROR(__xludf.DUMMYFUNCTION("""COMPUTED_VALUE"""),"Roger Machado")</f>
        <v>Roger Machado</v>
      </c>
      <c r="C30" s="203">
        <f>IFERROR(__xludf.DUMMYFUNCTION("""COMPUTED_VALUE"""),7650.0)</f>
        <v>7650</v>
      </c>
      <c r="E30" s="201"/>
      <c r="F30" s="203"/>
      <c r="G30" s="304"/>
      <c r="H30" s="211"/>
    </row>
    <row r="31">
      <c r="B31" s="213"/>
      <c r="C31" s="214"/>
      <c r="E31" s="213"/>
      <c r="F31" s="214"/>
      <c r="G31" s="105"/>
    </row>
    <row r="32">
      <c r="B32" s="213"/>
      <c r="C32" s="214"/>
      <c r="E32" s="213"/>
      <c r="F32" s="214"/>
      <c r="G32" s="105"/>
    </row>
    <row r="33">
      <c r="B33" s="213"/>
      <c r="C33" s="214"/>
      <c r="E33" s="213"/>
      <c r="F33" s="214"/>
      <c r="G33" s="105"/>
    </row>
    <row r="34">
      <c r="B34" s="213"/>
      <c r="C34" s="214"/>
      <c r="E34" s="213"/>
      <c r="F34" s="214"/>
      <c r="G34" s="105"/>
    </row>
    <row r="35">
      <c r="B35" s="213"/>
      <c r="C35" s="214"/>
      <c r="E35" s="213"/>
      <c r="F35" s="214"/>
      <c r="G35" s="105"/>
    </row>
    <row r="36">
      <c r="B36" s="213"/>
      <c r="C36" s="214"/>
      <c r="E36" s="213"/>
      <c r="F36" s="214"/>
      <c r="G36" s="105"/>
    </row>
    <row r="37">
      <c r="B37" s="213"/>
      <c r="C37" s="214"/>
      <c r="E37" s="213"/>
      <c r="F37" s="214"/>
      <c r="G37" s="105"/>
    </row>
    <row r="38">
      <c r="B38" s="213"/>
      <c r="C38" s="214"/>
      <c r="E38" s="213"/>
      <c r="F38" s="214"/>
      <c r="G38" s="105"/>
    </row>
    <row r="39">
      <c r="B39" s="213"/>
      <c r="C39" s="214"/>
      <c r="E39" s="213"/>
      <c r="F39" s="214"/>
      <c r="G39" s="105"/>
    </row>
    <row r="40">
      <c r="B40" s="213"/>
      <c r="C40" s="214"/>
      <c r="E40" s="213"/>
      <c r="F40" s="214"/>
      <c r="G40" s="105"/>
    </row>
    <row r="41">
      <c r="B41" s="213"/>
      <c r="C41" s="214"/>
      <c r="E41" s="213"/>
      <c r="F41" s="214"/>
      <c r="G41" s="105"/>
    </row>
    <row r="42">
      <c r="B42" s="213"/>
      <c r="C42" s="214"/>
      <c r="E42" s="213"/>
      <c r="F42" s="214"/>
      <c r="G42" s="105"/>
    </row>
    <row r="43">
      <c r="B43" s="213"/>
      <c r="C43" s="214"/>
      <c r="E43" s="213"/>
      <c r="F43" s="214"/>
      <c r="G43" s="105"/>
    </row>
    <row r="44">
      <c r="B44" s="213"/>
      <c r="C44" s="214"/>
      <c r="E44" s="213"/>
      <c r="F44" s="214"/>
      <c r="G44" s="105"/>
    </row>
    <row r="45">
      <c r="B45" s="213"/>
      <c r="C45" s="214"/>
      <c r="E45" s="213"/>
      <c r="F45" s="214"/>
      <c r="G45" s="105"/>
    </row>
    <row r="46">
      <c r="B46" s="213"/>
      <c r="C46" s="214"/>
      <c r="E46" s="213"/>
      <c r="F46" s="214"/>
      <c r="G46" s="105"/>
    </row>
    <row r="47">
      <c r="B47" s="213"/>
      <c r="C47" s="214"/>
      <c r="E47" s="213"/>
      <c r="F47" s="214"/>
      <c r="G47" s="105"/>
    </row>
    <row r="48">
      <c r="B48" s="213"/>
      <c r="C48" s="214"/>
      <c r="E48" s="213"/>
      <c r="F48" s="214"/>
      <c r="G48" s="105"/>
    </row>
    <row r="49">
      <c r="B49" s="213"/>
      <c r="C49" s="214"/>
      <c r="E49" s="213"/>
      <c r="F49" s="214"/>
      <c r="G49" s="105"/>
    </row>
    <row r="50">
      <c r="B50" s="213"/>
      <c r="C50" s="214"/>
      <c r="E50" s="213"/>
      <c r="F50" s="214"/>
      <c r="G50" s="105"/>
    </row>
    <row r="51">
      <c r="B51" s="213"/>
      <c r="C51" s="214"/>
      <c r="E51" s="213"/>
      <c r="F51" s="214"/>
      <c r="G51" s="105"/>
    </row>
    <row r="52">
      <c r="B52" s="213"/>
      <c r="C52" s="214"/>
      <c r="E52" s="213"/>
      <c r="F52" s="214"/>
      <c r="G52" s="105"/>
    </row>
    <row r="53">
      <c r="B53" s="213"/>
      <c r="C53" s="214"/>
      <c r="E53" s="213"/>
      <c r="F53" s="214"/>
      <c r="G53" s="105"/>
    </row>
    <row r="54">
      <c r="B54" s="213"/>
      <c r="C54" s="214"/>
      <c r="E54" s="213"/>
      <c r="F54" s="214"/>
      <c r="G54" s="105"/>
    </row>
    <row r="55">
      <c r="B55" s="213"/>
      <c r="C55" s="214"/>
      <c r="E55" s="213"/>
      <c r="F55" s="214"/>
      <c r="G55" s="105"/>
    </row>
    <row r="56">
      <c r="B56" s="213"/>
      <c r="C56" s="214"/>
      <c r="E56" s="213"/>
      <c r="F56" s="214"/>
      <c r="G56" s="105"/>
    </row>
    <row r="57">
      <c r="B57" s="213"/>
      <c r="C57" s="214"/>
      <c r="E57" s="213"/>
      <c r="F57" s="214"/>
      <c r="G57" s="105"/>
    </row>
    <row r="58">
      <c r="B58" s="213"/>
      <c r="C58" s="214"/>
      <c r="E58" s="213"/>
      <c r="F58" s="214"/>
      <c r="G58" s="105"/>
    </row>
    <row r="59">
      <c r="B59" s="213"/>
      <c r="C59" s="214"/>
      <c r="E59" s="213"/>
      <c r="F59" s="214"/>
      <c r="G59" s="105"/>
    </row>
    <row r="60">
      <c r="B60" s="213"/>
      <c r="C60" s="214"/>
      <c r="E60" s="213"/>
      <c r="F60" s="214"/>
      <c r="G60" s="105"/>
    </row>
    <row r="61">
      <c r="B61" s="213"/>
      <c r="C61" s="214"/>
      <c r="E61" s="213"/>
      <c r="F61" s="214"/>
      <c r="G61" s="105"/>
    </row>
    <row r="62">
      <c r="B62" s="213"/>
      <c r="C62" s="214"/>
      <c r="E62" s="213"/>
      <c r="F62" s="214"/>
      <c r="G62" s="105"/>
    </row>
    <row r="63">
      <c r="B63" s="213"/>
      <c r="C63" s="214"/>
      <c r="E63" s="213"/>
      <c r="F63" s="214"/>
      <c r="G63" s="105"/>
    </row>
    <row r="64">
      <c r="B64" s="213"/>
      <c r="C64" s="214"/>
      <c r="E64" s="213"/>
      <c r="F64" s="214"/>
      <c r="G64" s="105"/>
    </row>
    <row r="65">
      <c r="B65" s="213"/>
      <c r="C65" s="214"/>
      <c r="E65" s="213"/>
      <c r="F65" s="214"/>
      <c r="G65" s="105"/>
    </row>
    <row r="66">
      <c r="B66" s="213"/>
      <c r="C66" s="214"/>
      <c r="E66" s="213"/>
      <c r="F66" s="214"/>
      <c r="G66" s="105"/>
    </row>
    <row r="67">
      <c r="B67" s="213"/>
      <c r="C67" s="214"/>
      <c r="E67" s="213"/>
      <c r="F67" s="214"/>
      <c r="G67" s="105"/>
    </row>
    <row r="68">
      <c r="B68" s="213"/>
      <c r="C68" s="214"/>
      <c r="E68" s="213"/>
      <c r="F68" s="214"/>
      <c r="G68" s="105"/>
    </row>
    <row r="69">
      <c r="B69" s="213"/>
      <c r="C69" s="214"/>
      <c r="E69" s="213"/>
      <c r="F69" s="214"/>
      <c r="G69" s="105"/>
    </row>
    <row r="70">
      <c r="B70" s="213"/>
      <c r="C70" s="214"/>
      <c r="E70" s="213"/>
      <c r="F70" s="214"/>
      <c r="G70" s="105"/>
    </row>
    <row r="71">
      <c r="B71" s="213"/>
      <c r="C71" s="214"/>
      <c r="E71" s="213"/>
      <c r="F71" s="214"/>
      <c r="G71" s="105"/>
    </row>
    <row r="72">
      <c r="B72" s="213"/>
      <c r="C72" s="214"/>
      <c r="E72" s="213"/>
      <c r="F72" s="214"/>
      <c r="G72" s="105"/>
    </row>
    <row r="73">
      <c r="B73" s="213"/>
      <c r="C73" s="214"/>
      <c r="E73" s="213"/>
      <c r="F73" s="214"/>
      <c r="G73" s="105"/>
    </row>
    <row r="74">
      <c r="B74" s="213"/>
      <c r="C74" s="214"/>
      <c r="E74" s="213"/>
      <c r="F74" s="214"/>
      <c r="G74" s="105"/>
    </row>
    <row r="75">
      <c r="B75" s="213"/>
      <c r="C75" s="214"/>
      <c r="E75" s="213"/>
      <c r="F75" s="214"/>
      <c r="G75" s="105"/>
    </row>
    <row r="76">
      <c r="B76" s="213"/>
      <c r="C76" s="214"/>
      <c r="E76" s="213"/>
      <c r="F76" s="214"/>
      <c r="G76" s="105"/>
    </row>
    <row r="77">
      <c r="B77" s="213"/>
      <c r="C77" s="214"/>
      <c r="E77" s="213"/>
      <c r="F77" s="214"/>
      <c r="G77" s="105"/>
    </row>
    <row r="78">
      <c r="B78" s="213"/>
      <c r="C78" s="214"/>
      <c r="E78" s="213"/>
      <c r="F78" s="214"/>
      <c r="G78" s="105"/>
    </row>
    <row r="79">
      <c r="B79" s="213"/>
      <c r="C79" s="214"/>
      <c r="E79" s="213"/>
      <c r="F79" s="214"/>
      <c r="G79" s="105"/>
    </row>
    <row r="80">
      <c r="B80" s="213"/>
      <c r="C80" s="214"/>
      <c r="E80" s="213"/>
      <c r="F80" s="214"/>
      <c r="G80" s="105"/>
    </row>
    <row r="81">
      <c r="B81" s="213"/>
      <c r="C81" s="214"/>
      <c r="E81" s="213"/>
      <c r="F81" s="214"/>
      <c r="G81" s="105"/>
    </row>
    <row r="82">
      <c r="B82" s="213"/>
      <c r="C82" s="214"/>
      <c r="E82" s="213"/>
      <c r="F82" s="214"/>
      <c r="G82" s="105"/>
    </row>
    <row r="83">
      <c r="B83" s="213"/>
      <c r="C83" s="214"/>
      <c r="E83" s="213"/>
      <c r="F83" s="214"/>
      <c r="G83" s="105"/>
    </row>
    <row r="84">
      <c r="B84" s="213"/>
      <c r="C84" s="214"/>
      <c r="E84" s="213"/>
      <c r="F84" s="214"/>
      <c r="G84" s="105"/>
    </row>
    <row r="85">
      <c r="B85" s="213"/>
      <c r="C85" s="214"/>
      <c r="E85" s="213"/>
      <c r="F85" s="214"/>
      <c r="G85" s="105"/>
    </row>
    <row r="86">
      <c r="B86" s="213"/>
      <c r="C86" s="214"/>
      <c r="E86" s="213"/>
      <c r="F86" s="214"/>
      <c r="G86" s="105"/>
    </row>
    <row r="87">
      <c r="B87" s="213"/>
      <c r="C87" s="214"/>
      <c r="E87" s="213"/>
      <c r="F87" s="214"/>
      <c r="G87" s="105"/>
    </row>
    <row r="88">
      <c r="B88" s="213"/>
      <c r="C88" s="214"/>
      <c r="E88" s="213"/>
      <c r="F88" s="214"/>
      <c r="G88" s="105"/>
    </row>
    <row r="89">
      <c r="B89" s="213"/>
      <c r="C89" s="214"/>
      <c r="E89" s="213"/>
      <c r="F89" s="214"/>
      <c r="G89" s="105"/>
    </row>
    <row r="90">
      <c r="B90" s="213"/>
      <c r="C90" s="214"/>
      <c r="E90" s="213"/>
      <c r="F90" s="214"/>
      <c r="G90" s="105"/>
    </row>
    <row r="91">
      <c r="B91" s="213"/>
      <c r="C91" s="214"/>
      <c r="E91" s="213"/>
      <c r="F91" s="214"/>
      <c r="G91" s="105"/>
    </row>
    <row r="92">
      <c r="B92" s="213"/>
      <c r="C92" s="214"/>
      <c r="E92" s="213"/>
      <c r="F92" s="214"/>
      <c r="G92" s="105"/>
    </row>
    <row r="93">
      <c r="B93" s="213"/>
      <c r="C93" s="214"/>
      <c r="E93" s="213"/>
      <c r="F93" s="214"/>
      <c r="G93" s="105"/>
    </row>
    <row r="94">
      <c r="B94" s="213"/>
      <c r="C94" s="214"/>
      <c r="E94" s="213"/>
      <c r="F94" s="214"/>
      <c r="G94" s="105"/>
    </row>
    <row r="95">
      <c r="B95" s="213"/>
      <c r="C95" s="214"/>
      <c r="E95" s="213"/>
      <c r="F95" s="214"/>
      <c r="G95" s="105"/>
    </row>
    <row r="96">
      <c r="B96" s="213"/>
      <c r="C96" s="214"/>
      <c r="E96" s="213"/>
      <c r="F96" s="214"/>
      <c r="G96" s="105"/>
    </row>
    <row r="97">
      <c r="B97" s="213"/>
      <c r="C97" s="214"/>
      <c r="E97" s="213"/>
      <c r="F97" s="214"/>
      <c r="G97" s="105"/>
    </row>
    <row r="98">
      <c r="B98" s="213"/>
      <c r="C98" s="214"/>
      <c r="E98" s="213"/>
      <c r="F98" s="214"/>
      <c r="G98" s="105"/>
    </row>
    <row r="99">
      <c r="B99" s="213"/>
      <c r="C99" s="214"/>
      <c r="E99" s="213"/>
      <c r="F99" s="214"/>
      <c r="G99" s="105"/>
    </row>
    <row r="100">
      <c r="B100" s="213"/>
      <c r="C100" s="214"/>
      <c r="E100" s="213"/>
      <c r="F100" s="214"/>
      <c r="G100" s="105"/>
    </row>
    <row r="101">
      <c r="B101" s="213"/>
      <c r="C101" s="214"/>
      <c r="E101" s="213"/>
      <c r="F101" s="214"/>
      <c r="G101" s="105"/>
    </row>
    <row r="102">
      <c r="B102" s="213"/>
      <c r="C102" s="214"/>
      <c r="E102" s="213"/>
      <c r="F102" s="214"/>
      <c r="G102" s="105"/>
    </row>
    <row r="103">
      <c r="B103" s="213"/>
      <c r="C103" s="214"/>
      <c r="E103" s="213"/>
      <c r="F103" s="214"/>
      <c r="G103" s="105"/>
    </row>
    <row r="104">
      <c r="B104" s="213"/>
      <c r="C104" s="214"/>
      <c r="E104" s="213"/>
      <c r="F104" s="214"/>
      <c r="G104" s="105"/>
    </row>
    <row r="105">
      <c r="B105" s="213"/>
      <c r="C105" s="214"/>
      <c r="E105" s="213"/>
      <c r="F105" s="214"/>
      <c r="G105" s="105"/>
    </row>
    <row r="106">
      <c r="B106" s="213"/>
      <c r="C106" s="214"/>
      <c r="E106" s="213"/>
      <c r="F106" s="214"/>
      <c r="G106" s="105"/>
    </row>
    <row r="107">
      <c r="B107" s="213"/>
      <c r="C107" s="214"/>
      <c r="E107" s="213"/>
      <c r="F107" s="214"/>
      <c r="G107" s="105"/>
    </row>
    <row r="108">
      <c r="B108" s="213"/>
      <c r="C108" s="214"/>
      <c r="E108" s="213"/>
      <c r="F108" s="214"/>
      <c r="G108" s="105"/>
    </row>
    <row r="109">
      <c r="B109" s="213"/>
      <c r="C109" s="214"/>
      <c r="E109" s="213"/>
      <c r="F109" s="214"/>
      <c r="G109" s="105"/>
    </row>
    <row r="110">
      <c r="B110" s="213"/>
      <c r="C110" s="214"/>
      <c r="E110" s="213"/>
      <c r="F110" s="214"/>
      <c r="G110" s="105"/>
    </row>
    <row r="111">
      <c r="B111" s="213"/>
      <c r="C111" s="214"/>
      <c r="E111" s="213"/>
      <c r="F111" s="214"/>
      <c r="G111" s="105"/>
    </row>
    <row r="112">
      <c r="B112" s="213"/>
      <c r="C112" s="214"/>
      <c r="E112" s="213"/>
      <c r="F112" s="214"/>
      <c r="G112" s="105"/>
    </row>
    <row r="113">
      <c r="B113" s="213"/>
      <c r="C113" s="214"/>
      <c r="E113" s="213"/>
      <c r="F113" s="214"/>
      <c r="G113" s="105"/>
    </row>
    <row r="114">
      <c r="B114" s="213"/>
      <c r="C114" s="214"/>
      <c r="E114" s="213"/>
      <c r="F114" s="214"/>
      <c r="G114" s="105"/>
    </row>
    <row r="115">
      <c r="B115" s="213"/>
      <c r="C115" s="214"/>
      <c r="E115" s="213"/>
      <c r="F115" s="214"/>
      <c r="G115" s="105"/>
    </row>
    <row r="116">
      <c r="B116" s="213"/>
      <c r="C116" s="214"/>
      <c r="E116" s="213"/>
      <c r="F116" s="214"/>
      <c r="G116" s="105"/>
    </row>
    <row r="117">
      <c r="B117" s="213"/>
      <c r="C117" s="214"/>
      <c r="E117" s="213"/>
      <c r="F117" s="214"/>
      <c r="G117" s="105"/>
    </row>
    <row r="118">
      <c r="B118" s="213"/>
      <c r="C118" s="214"/>
      <c r="E118" s="213"/>
      <c r="F118" s="214"/>
      <c r="G118" s="105"/>
    </row>
    <row r="119">
      <c r="B119" s="213"/>
      <c r="C119" s="214"/>
      <c r="E119" s="213"/>
      <c r="F119" s="214"/>
      <c r="G119" s="105"/>
    </row>
    <row r="120">
      <c r="B120" s="213"/>
      <c r="C120" s="214"/>
      <c r="E120" s="213"/>
      <c r="F120" s="214"/>
      <c r="G120" s="105"/>
    </row>
    <row r="121">
      <c r="B121" s="213"/>
      <c r="C121" s="214"/>
      <c r="E121" s="213"/>
      <c r="F121" s="214"/>
      <c r="G121" s="105"/>
    </row>
    <row r="122">
      <c r="B122" s="213"/>
      <c r="C122" s="214"/>
      <c r="E122" s="213"/>
      <c r="F122" s="214"/>
      <c r="G122" s="105"/>
    </row>
    <row r="123">
      <c r="B123" s="213"/>
      <c r="C123" s="214"/>
      <c r="E123" s="213"/>
      <c r="F123" s="214"/>
      <c r="G123" s="105"/>
    </row>
    <row r="124">
      <c r="B124" s="213"/>
      <c r="C124" s="214"/>
      <c r="E124" s="213"/>
      <c r="F124" s="214"/>
      <c r="G124" s="105"/>
    </row>
    <row r="125">
      <c r="B125" s="213"/>
      <c r="C125" s="214"/>
      <c r="E125" s="213"/>
      <c r="F125" s="214"/>
      <c r="G125" s="105"/>
    </row>
    <row r="126">
      <c r="B126" s="213"/>
      <c r="C126" s="214"/>
      <c r="E126" s="213"/>
      <c r="F126" s="214"/>
      <c r="G126" s="105"/>
    </row>
    <row r="127">
      <c r="B127" s="213"/>
      <c r="C127" s="214"/>
      <c r="E127" s="213"/>
      <c r="F127" s="214"/>
      <c r="G127" s="105"/>
    </row>
    <row r="128">
      <c r="B128" s="213"/>
      <c r="C128" s="214"/>
      <c r="E128" s="213"/>
      <c r="F128" s="214"/>
      <c r="G128" s="105"/>
    </row>
    <row r="129">
      <c r="B129" s="213"/>
      <c r="C129" s="214"/>
      <c r="E129" s="213"/>
      <c r="F129" s="214"/>
      <c r="G129" s="105"/>
    </row>
    <row r="130">
      <c r="B130" s="213"/>
      <c r="C130" s="214"/>
      <c r="E130" s="213"/>
      <c r="F130" s="214"/>
      <c r="G130" s="105"/>
    </row>
    <row r="131">
      <c r="B131" s="213"/>
      <c r="C131" s="214"/>
      <c r="E131" s="213"/>
      <c r="F131" s="214"/>
      <c r="G131" s="105"/>
    </row>
    <row r="132">
      <c r="B132" s="213"/>
      <c r="C132" s="214"/>
      <c r="E132" s="213"/>
      <c r="F132" s="214"/>
      <c r="G132" s="105"/>
    </row>
    <row r="133">
      <c r="B133" s="213"/>
      <c r="C133" s="214"/>
      <c r="E133" s="213"/>
      <c r="F133" s="214"/>
      <c r="G133" s="105"/>
    </row>
    <row r="134">
      <c r="B134" s="213"/>
      <c r="C134" s="214"/>
      <c r="E134" s="213"/>
      <c r="F134" s="214"/>
      <c r="G134" s="105"/>
    </row>
    <row r="135">
      <c r="B135" s="213"/>
      <c r="C135" s="214"/>
      <c r="E135" s="213"/>
      <c r="F135" s="214"/>
      <c r="G135" s="105"/>
    </row>
    <row r="136">
      <c r="B136" s="213"/>
      <c r="C136" s="214"/>
      <c r="E136" s="213"/>
      <c r="F136" s="214"/>
      <c r="G136" s="105"/>
    </row>
    <row r="137">
      <c r="B137" s="213"/>
      <c r="C137" s="214"/>
      <c r="E137" s="213"/>
      <c r="F137" s="214"/>
      <c r="G137" s="105"/>
    </row>
    <row r="138">
      <c r="B138" s="213"/>
      <c r="C138" s="214"/>
      <c r="E138" s="213"/>
      <c r="F138" s="214"/>
      <c r="G138" s="105"/>
    </row>
    <row r="139">
      <c r="B139" s="213"/>
      <c r="C139" s="214"/>
      <c r="E139" s="213"/>
      <c r="F139" s="214"/>
      <c r="G139" s="105"/>
    </row>
    <row r="140">
      <c r="B140" s="213"/>
      <c r="C140" s="214"/>
      <c r="E140" s="213"/>
      <c r="F140" s="214"/>
      <c r="G140" s="105"/>
    </row>
    <row r="141">
      <c r="B141" s="213"/>
      <c r="C141" s="214"/>
      <c r="E141" s="213"/>
      <c r="F141" s="214"/>
      <c r="G141" s="105"/>
    </row>
    <row r="142">
      <c r="B142" s="213"/>
      <c r="C142" s="214"/>
      <c r="E142" s="213"/>
      <c r="F142" s="214"/>
      <c r="G142" s="105"/>
    </row>
    <row r="143">
      <c r="B143" s="213"/>
      <c r="C143" s="214"/>
      <c r="E143" s="213"/>
      <c r="F143" s="214"/>
      <c r="G143" s="105"/>
    </row>
    <row r="144">
      <c r="B144" s="213"/>
      <c r="C144" s="214"/>
      <c r="E144" s="213"/>
      <c r="F144" s="214"/>
      <c r="G144" s="105"/>
    </row>
    <row r="145">
      <c r="B145" s="213"/>
      <c r="C145" s="214"/>
      <c r="E145" s="213"/>
      <c r="F145" s="214"/>
      <c r="G145" s="105"/>
    </row>
    <row r="146">
      <c r="B146" s="213"/>
      <c r="C146" s="214"/>
      <c r="E146" s="213"/>
      <c r="F146" s="214"/>
      <c r="G146" s="105"/>
    </row>
    <row r="147">
      <c r="B147" s="213"/>
      <c r="C147" s="214"/>
      <c r="E147" s="213"/>
      <c r="F147" s="214"/>
      <c r="G147" s="105"/>
    </row>
    <row r="148">
      <c r="B148" s="213"/>
      <c r="C148" s="214"/>
      <c r="E148" s="213"/>
      <c r="F148" s="214"/>
      <c r="G148" s="105"/>
    </row>
    <row r="149">
      <c r="B149" s="213"/>
      <c r="C149" s="214"/>
      <c r="E149" s="213"/>
      <c r="F149" s="214"/>
      <c r="G149" s="105"/>
    </row>
    <row r="150">
      <c r="B150" s="213"/>
      <c r="C150" s="214"/>
      <c r="E150" s="213"/>
      <c r="F150" s="214"/>
      <c r="G150" s="105"/>
    </row>
    <row r="151">
      <c r="B151" s="213"/>
      <c r="C151" s="214"/>
      <c r="E151" s="213"/>
      <c r="F151" s="214"/>
      <c r="G151" s="105"/>
    </row>
    <row r="152">
      <c r="B152" s="213"/>
      <c r="C152" s="214"/>
      <c r="E152" s="213"/>
      <c r="F152" s="214"/>
      <c r="G152" s="105"/>
    </row>
    <row r="153">
      <c r="B153" s="213"/>
      <c r="C153" s="214"/>
      <c r="E153" s="213"/>
      <c r="F153" s="214"/>
      <c r="G153" s="105"/>
    </row>
    <row r="154">
      <c r="B154" s="213"/>
      <c r="C154" s="214"/>
      <c r="E154" s="213"/>
      <c r="F154" s="214"/>
      <c r="G154" s="105"/>
    </row>
    <row r="155">
      <c r="B155" s="213"/>
      <c r="C155" s="214"/>
      <c r="E155" s="213"/>
      <c r="F155" s="214"/>
      <c r="G155" s="105"/>
    </row>
    <row r="156">
      <c r="B156" s="213"/>
      <c r="C156" s="214"/>
      <c r="E156" s="213"/>
      <c r="F156" s="214"/>
      <c r="G156" s="105"/>
    </row>
    <row r="157">
      <c r="B157" s="213"/>
      <c r="C157" s="214"/>
      <c r="E157" s="213"/>
      <c r="F157" s="214"/>
      <c r="G157" s="105"/>
    </row>
    <row r="158">
      <c r="B158" s="213"/>
      <c r="C158" s="214"/>
      <c r="E158" s="213"/>
      <c r="F158" s="214"/>
      <c r="G158" s="105"/>
    </row>
    <row r="159">
      <c r="B159" s="213"/>
      <c r="C159" s="214"/>
      <c r="E159" s="213"/>
      <c r="F159" s="214"/>
      <c r="G159" s="105"/>
    </row>
    <row r="160">
      <c r="B160" s="213"/>
      <c r="C160" s="214"/>
      <c r="E160" s="213"/>
      <c r="F160" s="214"/>
      <c r="G160" s="105"/>
    </row>
    <row r="161">
      <c r="B161" s="213"/>
      <c r="C161" s="214"/>
      <c r="E161" s="213"/>
      <c r="F161" s="214"/>
      <c r="G161" s="105"/>
    </row>
    <row r="162">
      <c r="B162" s="213"/>
      <c r="C162" s="214"/>
      <c r="E162" s="213"/>
      <c r="F162" s="214"/>
      <c r="G162" s="105"/>
    </row>
    <row r="163">
      <c r="B163" s="213"/>
      <c r="C163" s="214"/>
      <c r="E163" s="213"/>
      <c r="F163" s="214"/>
      <c r="G163" s="105"/>
    </row>
    <row r="164">
      <c r="B164" s="213"/>
      <c r="C164" s="214"/>
      <c r="E164" s="213"/>
      <c r="F164" s="214"/>
      <c r="G164" s="105"/>
    </row>
    <row r="165">
      <c r="B165" s="213"/>
      <c r="C165" s="214"/>
      <c r="E165" s="213"/>
      <c r="F165" s="214"/>
      <c r="G165" s="105"/>
    </row>
    <row r="166">
      <c r="B166" s="213"/>
      <c r="C166" s="214"/>
      <c r="E166" s="213"/>
      <c r="F166" s="214"/>
      <c r="G166" s="105"/>
    </row>
    <row r="167">
      <c r="B167" s="213"/>
      <c r="C167" s="214"/>
      <c r="E167" s="213"/>
      <c r="F167" s="214"/>
      <c r="G167" s="105"/>
    </row>
    <row r="168">
      <c r="B168" s="213"/>
      <c r="C168" s="214"/>
      <c r="E168" s="213"/>
      <c r="F168" s="214"/>
      <c r="G168" s="105"/>
    </row>
    <row r="169">
      <c r="B169" s="213"/>
      <c r="C169" s="214"/>
      <c r="E169" s="213"/>
      <c r="F169" s="214"/>
      <c r="G169" s="105"/>
    </row>
    <row r="170">
      <c r="B170" s="213"/>
      <c r="C170" s="214"/>
      <c r="E170" s="213"/>
      <c r="F170" s="214"/>
      <c r="G170" s="105"/>
    </row>
    <row r="171">
      <c r="B171" s="213"/>
      <c r="C171" s="214"/>
      <c r="E171" s="213"/>
      <c r="F171" s="214"/>
      <c r="G171" s="105"/>
    </row>
    <row r="172">
      <c r="B172" s="213"/>
      <c r="C172" s="214"/>
      <c r="E172" s="213"/>
      <c r="F172" s="214"/>
      <c r="G172" s="105"/>
    </row>
    <row r="173">
      <c r="B173" s="213"/>
      <c r="C173" s="214"/>
      <c r="E173" s="213"/>
      <c r="F173" s="214"/>
      <c r="G173" s="105"/>
    </row>
    <row r="174">
      <c r="B174" s="213"/>
      <c r="C174" s="214"/>
      <c r="E174" s="213"/>
      <c r="F174" s="214"/>
      <c r="G174" s="105"/>
    </row>
    <row r="175">
      <c r="B175" s="213"/>
      <c r="C175" s="214"/>
      <c r="E175" s="213"/>
      <c r="F175" s="214"/>
      <c r="G175" s="105"/>
    </row>
    <row r="176">
      <c r="B176" s="213"/>
      <c r="C176" s="214"/>
      <c r="E176" s="213"/>
      <c r="F176" s="214"/>
      <c r="G176" s="105"/>
    </row>
    <row r="177">
      <c r="B177" s="213"/>
      <c r="C177" s="214"/>
      <c r="E177" s="213"/>
      <c r="F177" s="214"/>
      <c r="G177" s="105"/>
    </row>
    <row r="178">
      <c r="B178" s="213"/>
      <c r="C178" s="214"/>
      <c r="E178" s="213"/>
      <c r="F178" s="214"/>
      <c r="G178" s="105"/>
    </row>
    <row r="179">
      <c r="B179" s="213"/>
      <c r="C179" s="214"/>
      <c r="E179" s="213"/>
      <c r="F179" s="214"/>
      <c r="G179" s="105"/>
    </row>
    <row r="180">
      <c r="B180" s="213"/>
      <c r="C180" s="214"/>
      <c r="E180" s="213"/>
      <c r="F180" s="214"/>
      <c r="G180" s="105"/>
    </row>
    <row r="181">
      <c r="B181" s="213"/>
      <c r="C181" s="214"/>
      <c r="E181" s="213"/>
      <c r="F181" s="214"/>
      <c r="G181" s="105"/>
    </row>
    <row r="182">
      <c r="B182" s="213"/>
      <c r="C182" s="214"/>
      <c r="E182" s="213"/>
      <c r="F182" s="214"/>
      <c r="G182" s="105"/>
    </row>
    <row r="183">
      <c r="B183" s="213"/>
      <c r="C183" s="214"/>
      <c r="E183" s="213"/>
      <c r="F183" s="214"/>
      <c r="G183" s="105"/>
    </row>
    <row r="184">
      <c r="B184" s="213"/>
      <c r="C184" s="214"/>
      <c r="E184" s="213"/>
      <c r="F184" s="214"/>
      <c r="G184" s="105"/>
    </row>
    <row r="185">
      <c r="B185" s="213"/>
      <c r="C185" s="214"/>
      <c r="E185" s="213"/>
      <c r="F185" s="214"/>
      <c r="G185" s="105"/>
    </row>
    <row r="186">
      <c r="B186" s="213"/>
      <c r="C186" s="214"/>
      <c r="E186" s="213"/>
      <c r="F186" s="214"/>
      <c r="G186" s="105"/>
    </row>
    <row r="187">
      <c r="B187" s="213"/>
      <c r="C187" s="214"/>
      <c r="E187" s="213"/>
      <c r="F187" s="214"/>
      <c r="G187" s="105"/>
    </row>
    <row r="188">
      <c r="B188" s="213"/>
      <c r="C188" s="214"/>
      <c r="E188" s="213"/>
      <c r="F188" s="214"/>
      <c r="G188" s="105"/>
    </row>
    <row r="189">
      <c r="B189" s="213"/>
      <c r="C189" s="214"/>
      <c r="E189" s="213"/>
      <c r="F189" s="214"/>
      <c r="G189" s="105"/>
    </row>
    <row r="190">
      <c r="B190" s="213"/>
      <c r="C190" s="214"/>
      <c r="E190" s="213"/>
      <c r="F190" s="214"/>
      <c r="G190" s="105"/>
    </row>
    <row r="191">
      <c r="B191" s="213"/>
      <c r="C191" s="214"/>
      <c r="E191" s="213"/>
      <c r="F191" s="214"/>
      <c r="G191" s="105"/>
    </row>
    <row r="192">
      <c r="B192" s="213"/>
      <c r="C192" s="214"/>
      <c r="E192" s="213"/>
      <c r="F192" s="214"/>
      <c r="G192" s="105"/>
    </row>
    <row r="193">
      <c r="B193" s="213"/>
      <c r="C193" s="214"/>
      <c r="E193" s="213"/>
      <c r="F193" s="214"/>
      <c r="G193" s="105"/>
    </row>
    <row r="194">
      <c r="B194" s="213"/>
      <c r="C194" s="214"/>
      <c r="E194" s="213"/>
      <c r="F194" s="214"/>
      <c r="G194" s="105"/>
    </row>
    <row r="195">
      <c r="B195" s="213"/>
      <c r="C195" s="214"/>
      <c r="E195" s="213"/>
      <c r="F195" s="214"/>
      <c r="G195" s="105"/>
    </row>
    <row r="196">
      <c r="B196" s="213"/>
      <c r="C196" s="214"/>
      <c r="E196" s="213"/>
      <c r="F196" s="214"/>
      <c r="G196" s="105"/>
    </row>
    <row r="197">
      <c r="B197" s="213"/>
      <c r="C197" s="214"/>
      <c r="E197" s="213"/>
      <c r="F197" s="214"/>
      <c r="G197" s="105"/>
    </row>
    <row r="198">
      <c r="B198" s="213"/>
      <c r="C198" s="214"/>
      <c r="E198" s="213"/>
      <c r="F198" s="214"/>
      <c r="G198" s="105"/>
    </row>
    <row r="199">
      <c r="B199" s="213"/>
      <c r="C199" s="214"/>
      <c r="E199" s="213"/>
      <c r="F199" s="214"/>
      <c r="G199" s="105"/>
    </row>
    <row r="200">
      <c r="B200" s="213"/>
      <c r="C200" s="214"/>
      <c r="E200" s="213"/>
      <c r="F200" s="214"/>
      <c r="G200" s="105"/>
    </row>
    <row r="201">
      <c r="B201" s="213"/>
      <c r="C201" s="214"/>
      <c r="E201" s="213"/>
      <c r="F201" s="214"/>
      <c r="G201" s="105"/>
    </row>
    <row r="202">
      <c r="B202" s="213"/>
      <c r="C202" s="214"/>
      <c r="E202" s="213"/>
      <c r="F202" s="214"/>
      <c r="G202" s="105"/>
    </row>
    <row r="203">
      <c r="B203" s="213"/>
      <c r="C203" s="214"/>
      <c r="E203" s="213"/>
      <c r="F203" s="214"/>
      <c r="G203" s="105"/>
    </row>
    <row r="204">
      <c r="B204" s="213"/>
      <c r="C204" s="214"/>
      <c r="E204" s="213"/>
      <c r="F204" s="214"/>
      <c r="G204" s="105"/>
    </row>
    <row r="205">
      <c r="B205" s="213"/>
      <c r="C205" s="214"/>
      <c r="E205" s="213"/>
      <c r="F205" s="214"/>
      <c r="G205" s="105"/>
    </row>
    <row r="206">
      <c r="B206" s="213"/>
      <c r="C206" s="214"/>
      <c r="E206" s="213"/>
      <c r="F206" s="214"/>
      <c r="G206" s="105"/>
    </row>
    <row r="207">
      <c r="B207" s="213"/>
      <c r="C207" s="214"/>
      <c r="E207" s="213"/>
      <c r="F207" s="214"/>
      <c r="G207" s="105"/>
    </row>
    <row r="208">
      <c r="B208" s="213"/>
      <c r="C208" s="214"/>
      <c r="E208" s="213"/>
      <c r="F208" s="214"/>
      <c r="G208" s="105"/>
    </row>
    <row r="209">
      <c r="B209" s="213"/>
      <c r="C209" s="214"/>
      <c r="E209" s="213"/>
      <c r="F209" s="214"/>
      <c r="G209" s="105"/>
    </row>
    <row r="210">
      <c r="B210" s="213"/>
      <c r="C210" s="214"/>
      <c r="E210" s="213"/>
      <c r="F210" s="214"/>
      <c r="G210" s="105"/>
    </row>
    <row r="211">
      <c r="B211" s="213"/>
      <c r="C211" s="214"/>
      <c r="E211" s="213"/>
      <c r="F211" s="214"/>
      <c r="G211" s="105"/>
    </row>
    <row r="212">
      <c r="B212" s="213"/>
      <c r="C212" s="214"/>
      <c r="E212" s="213"/>
      <c r="F212" s="214"/>
      <c r="G212" s="105"/>
    </row>
    <row r="213">
      <c r="B213" s="213"/>
      <c r="C213" s="214"/>
      <c r="E213" s="213"/>
      <c r="F213" s="214"/>
      <c r="G213" s="105"/>
    </row>
    <row r="214">
      <c r="B214" s="213"/>
      <c r="C214" s="214"/>
      <c r="E214" s="213"/>
      <c r="F214" s="214"/>
      <c r="G214" s="105"/>
    </row>
    <row r="215">
      <c r="B215" s="213"/>
      <c r="C215" s="214"/>
      <c r="E215" s="213"/>
      <c r="F215" s="214"/>
      <c r="G215" s="105"/>
    </row>
    <row r="216">
      <c r="B216" s="213"/>
      <c r="C216" s="214"/>
      <c r="E216" s="213"/>
      <c r="F216" s="214"/>
      <c r="G216" s="105"/>
    </row>
    <row r="217">
      <c r="B217" s="213"/>
      <c r="C217" s="214"/>
      <c r="E217" s="213"/>
      <c r="F217" s="214"/>
      <c r="G217" s="105"/>
    </row>
    <row r="218">
      <c r="B218" s="213"/>
      <c r="C218" s="214"/>
      <c r="E218" s="213"/>
      <c r="F218" s="214"/>
      <c r="G218" s="105"/>
    </row>
    <row r="219">
      <c r="B219" s="213"/>
      <c r="C219" s="214"/>
      <c r="E219" s="213"/>
      <c r="F219" s="214"/>
      <c r="G219" s="105"/>
    </row>
    <row r="220">
      <c r="B220" s="213"/>
      <c r="C220" s="214"/>
      <c r="E220" s="213"/>
      <c r="F220" s="214"/>
      <c r="G220" s="105"/>
    </row>
    <row r="221">
      <c r="B221" s="213"/>
      <c r="C221" s="214"/>
      <c r="E221" s="213"/>
      <c r="F221" s="214"/>
      <c r="G221" s="105"/>
    </row>
    <row r="222">
      <c r="B222" s="213"/>
      <c r="C222" s="214"/>
      <c r="E222" s="213"/>
      <c r="F222" s="214"/>
      <c r="G222" s="105"/>
    </row>
    <row r="223">
      <c r="B223" s="213"/>
      <c r="C223" s="214"/>
      <c r="E223" s="213"/>
      <c r="F223" s="214"/>
      <c r="G223" s="105"/>
    </row>
    <row r="224">
      <c r="B224" s="213"/>
      <c r="C224" s="214"/>
      <c r="E224" s="213"/>
      <c r="F224" s="214"/>
      <c r="G224" s="105"/>
    </row>
    <row r="225">
      <c r="B225" s="213"/>
      <c r="C225" s="214"/>
      <c r="E225" s="213"/>
      <c r="F225" s="214"/>
      <c r="G225" s="105"/>
    </row>
    <row r="226">
      <c r="B226" s="213"/>
      <c r="C226" s="214"/>
      <c r="E226" s="213"/>
      <c r="F226" s="214"/>
      <c r="G226" s="105"/>
    </row>
    <row r="227">
      <c r="B227" s="213"/>
      <c r="C227" s="214"/>
      <c r="E227" s="213"/>
      <c r="F227" s="214"/>
      <c r="G227" s="105"/>
    </row>
    <row r="228">
      <c r="B228" s="213"/>
      <c r="C228" s="214"/>
      <c r="E228" s="213"/>
      <c r="F228" s="214"/>
      <c r="G228" s="105"/>
    </row>
    <row r="229">
      <c r="B229" s="213"/>
      <c r="C229" s="214"/>
      <c r="E229" s="213"/>
      <c r="F229" s="214"/>
      <c r="G229" s="105"/>
    </row>
    <row r="230">
      <c r="B230" s="213"/>
      <c r="C230" s="214"/>
      <c r="E230" s="213"/>
      <c r="F230" s="214"/>
      <c r="G230" s="105"/>
    </row>
    <row r="231">
      <c r="B231" s="213"/>
      <c r="C231" s="214"/>
      <c r="E231" s="213"/>
      <c r="F231" s="214"/>
      <c r="G231" s="105"/>
    </row>
    <row r="232">
      <c r="B232" s="213"/>
      <c r="C232" s="214"/>
      <c r="E232" s="213"/>
      <c r="F232" s="214"/>
      <c r="G232" s="105"/>
    </row>
    <row r="233">
      <c r="B233" s="213"/>
      <c r="C233" s="214"/>
      <c r="E233" s="213"/>
      <c r="F233" s="214"/>
      <c r="G233" s="105"/>
    </row>
    <row r="234">
      <c r="B234" s="213"/>
      <c r="C234" s="214"/>
      <c r="E234" s="213"/>
      <c r="F234" s="214"/>
      <c r="G234" s="105"/>
    </row>
    <row r="235">
      <c r="B235" s="213"/>
      <c r="C235" s="214"/>
      <c r="E235" s="213"/>
      <c r="F235" s="214"/>
      <c r="G235" s="105"/>
    </row>
    <row r="236">
      <c r="B236" s="213"/>
      <c r="C236" s="214"/>
      <c r="E236" s="213"/>
      <c r="F236" s="214"/>
      <c r="G236" s="105"/>
    </row>
    <row r="237">
      <c r="B237" s="213"/>
      <c r="C237" s="214"/>
      <c r="E237" s="213"/>
      <c r="F237" s="214"/>
      <c r="G237" s="105"/>
    </row>
    <row r="238">
      <c r="B238" s="213"/>
      <c r="C238" s="214"/>
      <c r="E238" s="213"/>
      <c r="F238" s="214"/>
      <c r="G238" s="105"/>
    </row>
    <row r="239">
      <c r="B239" s="213"/>
      <c r="C239" s="214"/>
      <c r="E239" s="213"/>
      <c r="F239" s="214"/>
      <c r="G239" s="105"/>
    </row>
    <row r="240">
      <c r="B240" s="213"/>
      <c r="C240" s="214"/>
      <c r="E240" s="213"/>
      <c r="F240" s="214"/>
      <c r="G240" s="105"/>
    </row>
    <row r="241">
      <c r="B241" s="213"/>
      <c r="C241" s="214"/>
      <c r="E241" s="213"/>
      <c r="F241" s="214"/>
      <c r="G241" s="105"/>
    </row>
    <row r="242">
      <c r="B242" s="213"/>
      <c r="C242" s="214"/>
      <c r="E242" s="213"/>
      <c r="F242" s="214"/>
      <c r="G242" s="105"/>
    </row>
    <row r="243">
      <c r="B243" s="213"/>
      <c r="C243" s="214"/>
      <c r="E243" s="213"/>
      <c r="F243" s="214"/>
      <c r="G243" s="105"/>
    </row>
    <row r="244">
      <c r="B244" s="213"/>
      <c r="C244" s="214"/>
      <c r="E244" s="213"/>
      <c r="F244" s="214"/>
      <c r="G244" s="105"/>
    </row>
    <row r="245">
      <c r="B245" s="213"/>
      <c r="C245" s="214"/>
      <c r="E245" s="213"/>
      <c r="F245" s="214"/>
      <c r="G245" s="105"/>
    </row>
    <row r="246">
      <c r="B246" s="213"/>
      <c r="C246" s="214"/>
      <c r="E246" s="213"/>
      <c r="F246" s="214"/>
      <c r="G246" s="105"/>
    </row>
    <row r="247">
      <c r="B247" s="213"/>
      <c r="C247" s="214"/>
      <c r="E247" s="213"/>
      <c r="F247" s="214"/>
      <c r="G247" s="105"/>
    </row>
    <row r="248">
      <c r="B248" s="213"/>
      <c r="C248" s="214"/>
      <c r="E248" s="213"/>
      <c r="F248" s="214"/>
      <c r="G248" s="105"/>
    </row>
    <row r="249">
      <c r="B249" s="213"/>
      <c r="C249" s="214"/>
      <c r="E249" s="213"/>
      <c r="F249" s="214"/>
      <c r="G249" s="105"/>
    </row>
    <row r="250">
      <c r="B250" s="213"/>
      <c r="C250" s="214"/>
      <c r="E250" s="213"/>
      <c r="F250" s="214"/>
      <c r="G250" s="105"/>
    </row>
    <row r="251">
      <c r="B251" s="213"/>
      <c r="C251" s="214"/>
      <c r="E251" s="213"/>
      <c r="F251" s="214"/>
      <c r="G251" s="105"/>
    </row>
    <row r="252">
      <c r="B252" s="213"/>
      <c r="C252" s="214"/>
      <c r="E252" s="213"/>
      <c r="F252" s="214"/>
      <c r="G252" s="105"/>
    </row>
    <row r="253">
      <c r="B253" s="213"/>
      <c r="C253" s="214"/>
      <c r="E253" s="213"/>
      <c r="F253" s="214"/>
      <c r="G253" s="105"/>
    </row>
    <row r="254">
      <c r="B254" s="213"/>
      <c r="C254" s="214"/>
      <c r="E254" s="213"/>
      <c r="F254" s="214"/>
      <c r="G254" s="105"/>
    </row>
    <row r="255">
      <c r="B255" s="213"/>
      <c r="C255" s="214"/>
      <c r="E255" s="213"/>
      <c r="F255" s="214"/>
      <c r="G255" s="105"/>
    </row>
    <row r="256">
      <c r="B256" s="213"/>
      <c r="C256" s="214"/>
      <c r="E256" s="213"/>
      <c r="F256" s="214"/>
      <c r="G256" s="105"/>
    </row>
    <row r="257">
      <c r="B257" s="213"/>
      <c r="C257" s="214"/>
      <c r="E257" s="213"/>
      <c r="F257" s="214"/>
      <c r="G257" s="105"/>
    </row>
    <row r="258">
      <c r="B258" s="213"/>
      <c r="C258" s="214"/>
      <c r="E258" s="213"/>
      <c r="F258" s="214"/>
      <c r="G258" s="105"/>
    </row>
    <row r="259">
      <c r="B259" s="213"/>
      <c r="C259" s="214"/>
      <c r="E259" s="213"/>
      <c r="F259" s="214"/>
      <c r="G259" s="105"/>
    </row>
    <row r="260">
      <c r="B260" s="213"/>
      <c r="C260" s="214"/>
      <c r="E260" s="213"/>
      <c r="F260" s="214"/>
      <c r="G260" s="105"/>
    </row>
    <row r="261">
      <c r="B261" s="213"/>
      <c r="C261" s="214"/>
      <c r="E261" s="213"/>
      <c r="F261" s="214"/>
      <c r="G261" s="105"/>
    </row>
    <row r="262">
      <c r="B262" s="213"/>
      <c r="C262" s="214"/>
      <c r="E262" s="213"/>
      <c r="F262" s="214"/>
      <c r="G262" s="105"/>
    </row>
    <row r="263">
      <c r="B263" s="213"/>
      <c r="C263" s="214"/>
      <c r="E263" s="213"/>
      <c r="F263" s="214"/>
      <c r="G263" s="105"/>
    </row>
    <row r="264">
      <c r="B264" s="213"/>
      <c r="C264" s="214"/>
      <c r="E264" s="213"/>
      <c r="F264" s="214"/>
      <c r="G264" s="105"/>
    </row>
    <row r="265">
      <c r="B265" s="213"/>
      <c r="C265" s="214"/>
      <c r="E265" s="213"/>
      <c r="F265" s="214"/>
      <c r="G265" s="105"/>
    </row>
    <row r="266">
      <c r="B266" s="213"/>
      <c r="C266" s="214"/>
      <c r="E266" s="213"/>
      <c r="F266" s="214"/>
      <c r="G266" s="105"/>
    </row>
    <row r="267">
      <c r="B267" s="213"/>
      <c r="C267" s="214"/>
      <c r="E267" s="213"/>
      <c r="F267" s="214"/>
      <c r="G267" s="105"/>
    </row>
    <row r="268">
      <c r="B268" s="213"/>
      <c r="C268" s="214"/>
      <c r="E268" s="213"/>
      <c r="F268" s="214"/>
      <c r="G268" s="105"/>
    </row>
    <row r="269">
      <c r="B269" s="213"/>
      <c r="C269" s="214"/>
      <c r="E269" s="213"/>
      <c r="F269" s="214"/>
      <c r="G269" s="105"/>
    </row>
    <row r="270">
      <c r="B270" s="213"/>
      <c r="C270" s="214"/>
      <c r="E270" s="213"/>
      <c r="F270" s="214"/>
      <c r="G270" s="105"/>
    </row>
    <row r="271">
      <c r="B271" s="213"/>
      <c r="C271" s="214"/>
      <c r="E271" s="213"/>
      <c r="F271" s="214"/>
      <c r="G271" s="105"/>
    </row>
    <row r="272">
      <c r="B272" s="213"/>
      <c r="C272" s="214"/>
      <c r="E272" s="213"/>
      <c r="F272" s="214"/>
      <c r="G272" s="105"/>
    </row>
    <row r="273">
      <c r="B273" s="213"/>
      <c r="C273" s="214"/>
      <c r="E273" s="213"/>
      <c r="F273" s="214"/>
      <c r="G273" s="105"/>
    </row>
    <row r="274">
      <c r="B274" s="213"/>
      <c r="C274" s="214"/>
      <c r="E274" s="213"/>
      <c r="F274" s="214"/>
      <c r="G274" s="105"/>
    </row>
    <row r="275">
      <c r="B275" s="213"/>
      <c r="C275" s="214"/>
      <c r="E275" s="213"/>
      <c r="F275" s="214"/>
      <c r="G275" s="105"/>
    </row>
    <row r="276">
      <c r="B276" s="213"/>
      <c r="C276" s="214"/>
      <c r="E276" s="213"/>
      <c r="F276" s="214"/>
      <c r="G276" s="105"/>
    </row>
    <row r="277">
      <c r="B277" s="213"/>
      <c r="C277" s="214"/>
      <c r="E277" s="213"/>
      <c r="F277" s="214"/>
      <c r="G277" s="105"/>
    </row>
    <row r="278">
      <c r="B278" s="213"/>
      <c r="C278" s="214"/>
      <c r="E278" s="213"/>
      <c r="F278" s="214"/>
      <c r="G278" s="105"/>
    </row>
    <row r="279">
      <c r="B279" s="213"/>
      <c r="C279" s="214"/>
      <c r="E279" s="213"/>
      <c r="F279" s="214"/>
      <c r="G279" s="105"/>
    </row>
    <row r="280">
      <c r="B280" s="213"/>
      <c r="C280" s="214"/>
      <c r="E280" s="213"/>
      <c r="F280" s="214"/>
      <c r="G280" s="105"/>
    </row>
    <row r="281">
      <c r="B281" s="213"/>
      <c r="C281" s="214"/>
      <c r="E281" s="213"/>
      <c r="F281" s="214"/>
      <c r="G281" s="105"/>
    </row>
    <row r="282">
      <c r="B282" s="213"/>
      <c r="C282" s="214"/>
      <c r="E282" s="213"/>
      <c r="F282" s="214"/>
      <c r="G282" s="105"/>
    </row>
    <row r="283">
      <c r="B283" s="213"/>
      <c r="C283" s="214"/>
      <c r="E283" s="213"/>
      <c r="F283" s="214"/>
      <c r="G283" s="105"/>
    </row>
    <row r="284">
      <c r="B284" s="213"/>
      <c r="C284" s="214"/>
      <c r="E284" s="213"/>
      <c r="F284" s="214"/>
      <c r="G284" s="105"/>
    </row>
    <row r="285">
      <c r="B285" s="213"/>
      <c r="C285" s="214"/>
      <c r="E285" s="213"/>
      <c r="F285" s="214"/>
      <c r="G285" s="105"/>
    </row>
    <row r="286">
      <c r="B286" s="213"/>
      <c r="C286" s="214"/>
      <c r="E286" s="213"/>
      <c r="F286" s="214"/>
      <c r="G286" s="105"/>
    </row>
    <row r="287">
      <c r="B287" s="213"/>
      <c r="C287" s="214"/>
      <c r="E287" s="213"/>
      <c r="F287" s="214"/>
      <c r="G287" s="105"/>
    </row>
    <row r="288">
      <c r="B288" s="213"/>
      <c r="C288" s="214"/>
      <c r="E288" s="213"/>
      <c r="F288" s="214"/>
      <c r="G288" s="105"/>
    </row>
    <row r="289">
      <c r="B289" s="213"/>
      <c r="C289" s="214"/>
      <c r="E289" s="213"/>
      <c r="F289" s="214"/>
      <c r="G289" s="105"/>
    </row>
    <row r="290">
      <c r="B290" s="213"/>
      <c r="C290" s="214"/>
      <c r="E290" s="213"/>
      <c r="F290" s="214"/>
      <c r="G290" s="105"/>
    </row>
    <row r="291">
      <c r="B291" s="213"/>
      <c r="C291" s="214"/>
      <c r="E291" s="213"/>
      <c r="F291" s="214"/>
      <c r="G291" s="105"/>
    </row>
    <row r="292">
      <c r="B292" s="213"/>
      <c r="C292" s="214"/>
      <c r="E292" s="213"/>
      <c r="F292" s="214"/>
      <c r="G292" s="105"/>
    </row>
    <row r="293">
      <c r="B293" s="213"/>
      <c r="C293" s="214"/>
      <c r="E293" s="213"/>
      <c r="F293" s="214"/>
      <c r="G293" s="105"/>
    </row>
    <row r="294">
      <c r="B294" s="213"/>
      <c r="C294" s="214"/>
      <c r="E294" s="213"/>
      <c r="F294" s="214"/>
      <c r="G294" s="105"/>
    </row>
    <row r="295">
      <c r="B295" s="213"/>
      <c r="C295" s="214"/>
      <c r="E295" s="213"/>
      <c r="F295" s="214"/>
      <c r="G295" s="105"/>
    </row>
    <row r="296">
      <c r="B296" s="213"/>
      <c r="C296" s="214"/>
      <c r="E296" s="213"/>
      <c r="F296" s="214"/>
      <c r="G296" s="105"/>
    </row>
    <row r="297">
      <c r="B297" s="213"/>
      <c r="C297" s="214"/>
      <c r="E297" s="213"/>
      <c r="F297" s="214"/>
      <c r="G297" s="105"/>
    </row>
    <row r="298">
      <c r="B298" s="213"/>
      <c r="C298" s="214"/>
      <c r="E298" s="213"/>
      <c r="F298" s="214"/>
      <c r="G298" s="105"/>
    </row>
    <row r="299">
      <c r="B299" s="213"/>
      <c r="C299" s="214"/>
      <c r="E299" s="213"/>
      <c r="F299" s="214"/>
      <c r="G299" s="105"/>
    </row>
    <row r="300">
      <c r="B300" s="213"/>
      <c r="C300" s="214"/>
      <c r="E300" s="213"/>
      <c r="F300" s="214"/>
      <c r="G300" s="105"/>
    </row>
    <row r="301">
      <c r="B301" s="213"/>
      <c r="C301" s="214"/>
      <c r="E301" s="213"/>
      <c r="F301" s="214"/>
      <c r="G301" s="105"/>
    </row>
    <row r="302">
      <c r="B302" s="213"/>
      <c r="C302" s="214"/>
      <c r="E302" s="213"/>
      <c r="F302" s="214"/>
      <c r="G302" s="105"/>
    </row>
    <row r="303">
      <c r="B303" s="213"/>
      <c r="C303" s="214"/>
      <c r="E303" s="213"/>
      <c r="F303" s="214"/>
      <c r="G303" s="105"/>
    </row>
    <row r="304">
      <c r="B304" s="213"/>
      <c r="C304" s="214"/>
      <c r="E304" s="213"/>
      <c r="F304" s="214"/>
      <c r="G304" s="105"/>
    </row>
    <row r="305">
      <c r="B305" s="213"/>
      <c r="C305" s="214"/>
      <c r="E305" s="213"/>
      <c r="F305" s="214"/>
      <c r="G305" s="105"/>
    </row>
    <row r="306">
      <c r="B306" s="213"/>
      <c r="C306" s="214"/>
      <c r="E306" s="213"/>
      <c r="F306" s="214"/>
      <c r="G306" s="105"/>
    </row>
    <row r="307">
      <c r="B307" s="213"/>
      <c r="C307" s="214"/>
      <c r="E307" s="213"/>
      <c r="F307" s="214"/>
      <c r="G307" s="105"/>
    </row>
    <row r="308">
      <c r="B308" s="213"/>
      <c r="C308" s="214"/>
      <c r="E308" s="213"/>
      <c r="F308" s="214"/>
      <c r="G308" s="105"/>
    </row>
    <row r="309">
      <c r="B309" s="213"/>
      <c r="C309" s="214"/>
      <c r="E309" s="213"/>
      <c r="F309" s="214"/>
      <c r="G309" s="105"/>
    </row>
    <row r="310">
      <c r="B310" s="213"/>
      <c r="C310" s="214"/>
      <c r="E310" s="213"/>
      <c r="F310" s="214"/>
      <c r="G310" s="105"/>
    </row>
    <row r="311">
      <c r="B311" s="213"/>
      <c r="C311" s="214"/>
      <c r="E311" s="213"/>
      <c r="F311" s="214"/>
      <c r="G311" s="105"/>
    </row>
    <row r="312">
      <c r="B312" s="213"/>
      <c r="C312" s="214"/>
      <c r="E312" s="213"/>
      <c r="F312" s="214"/>
      <c r="G312" s="105"/>
    </row>
    <row r="313">
      <c r="B313" s="213"/>
      <c r="C313" s="214"/>
      <c r="E313" s="213"/>
      <c r="F313" s="214"/>
      <c r="G313" s="105"/>
    </row>
    <row r="314">
      <c r="B314" s="213"/>
      <c r="C314" s="214"/>
      <c r="E314" s="213"/>
      <c r="F314" s="214"/>
      <c r="G314" s="105"/>
    </row>
    <row r="315">
      <c r="B315" s="213"/>
      <c r="C315" s="214"/>
      <c r="E315" s="213"/>
      <c r="F315" s="214"/>
      <c r="G315" s="105"/>
    </row>
    <row r="316">
      <c r="B316" s="213"/>
      <c r="C316" s="214"/>
      <c r="E316" s="213"/>
      <c r="F316" s="214"/>
      <c r="G316" s="105"/>
    </row>
    <row r="317">
      <c r="B317" s="213"/>
      <c r="C317" s="214"/>
      <c r="E317" s="213"/>
      <c r="F317" s="214"/>
      <c r="G317" s="105"/>
    </row>
    <row r="318">
      <c r="B318" s="213"/>
      <c r="C318" s="214"/>
      <c r="E318" s="213"/>
      <c r="F318" s="214"/>
      <c r="G318" s="105"/>
    </row>
    <row r="319">
      <c r="B319" s="213"/>
      <c r="C319" s="214"/>
      <c r="E319" s="213"/>
      <c r="F319" s="214"/>
      <c r="G319" s="105"/>
    </row>
    <row r="320">
      <c r="B320" s="213"/>
      <c r="C320" s="214"/>
      <c r="E320" s="213"/>
      <c r="F320" s="214"/>
      <c r="G320" s="105"/>
    </row>
    <row r="321">
      <c r="B321" s="213"/>
      <c r="C321" s="214"/>
      <c r="E321" s="213"/>
      <c r="F321" s="214"/>
      <c r="G321" s="105"/>
    </row>
    <row r="322">
      <c r="B322" s="213"/>
      <c r="C322" s="214"/>
      <c r="E322" s="213"/>
      <c r="F322" s="214"/>
      <c r="G322" s="105"/>
    </row>
    <row r="323">
      <c r="B323" s="213"/>
      <c r="C323" s="214"/>
      <c r="E323" s="213"/>
      <c r="F323" s="214"/>
      <c r="G323" s="105"/>
    </row>
    <row r="324">
      <c r="B324" s="213"/>
      <c r="C324" s="214"/>
      <c r="E324" s="213"/>
      <c r="F324" s="214"/>
      <c r="G324" s="105"/>
    </row>
    <row r="325">
      <c r="B325" s="213"/>
      <c r="C325" s="214"/>
      <c r="E325" s="213"/>
      <c r="F325" s="214"/>
      <c r="G325" s="105"/>
    </row>
    <row r="326">
      <c r="B326" s="213"/>
      <c r="C326" s="214"/>
      <c r="E326" s="213"/>
      <c r="F326" s="214"/>
      <c r="G326" s="105"/>
    </row>
    <row r="327">
      <c r="B327" s="213"/>
      <c r="C327" s="214"/>
      <c r="E327" s="213"/>
      <c r="F327" s="214"/>
      <c r="G327" s="105"/>
    </row>
    <row r="328">
      <c r="B328" s="213"/>
      <c r="C328" s="214"/>
      <c r="E328" s="213"/>
      <c r="F328" s="214"/>
      <c r="G328" s="105"/>
    </row>
    <row r="329">
      <c r="B329" s="213"/>
      <c r="C329" s="214"/>
      <c r="E329" s="213"/>
      <c r="F329" s="214"/>
      <c r="G329" s="105"/>
    </row>
    <row r="330">
      <c r="B330" s="213"/>
      <c r="C330" s="214"/>
      <c r="E330" s="213"/>
      <c r="F330" s="214"/>
      <c r="G330" s="105"/>
    </row>
    <row r="331">
      <c r="B331" s="213"/>
      <c r="C331" s="214"/>
      <c r="E331" s="213"/>
      <c r="F331" s="214"/>
      <c r="G331" s="105"/>
    </row>
    <row r="332">
      <c r="B332" s="213"/>
      <c r="C332" s="214"/>
      <c r="E332" s="213"/>
      <c r="F332" s="214"/>
      <c r="G332" s="105"/>
    </row>
    <row r="333">
      <c r="B333" s="213"/>
      <c r="C333" s="214"/>
      <c r="E333" s="213"/>
      <c r="F333" s="214"/>
      <c r="G333" s="105"/>
    </row>
    <row r="334">
      <c r="B334" s="213"/>
      <c r="C334" s="214"/>
      <c r="E334" s="213"/>
      <c r="F334" s="214"/>
      <c r="G334" s="105"/>
    </row>
    <row r="335">
      <c r="B335" s="213"/>
      <c r="C335" s="214"/>
      <c r="E335" s="213"/>
      <c r="F335" s="214"/>
      <c r="G335" s="105"/>
    </row>
    <row r="336">
      <c r="B336" s="213"/>
      <c r="C336" s="214"/>
      <c r="E336" s="213"/>
      <c r="F336" s="214"/>
      <c r="G336" s="105"/>
    </row>
    <row r="337">
      <c r="B337" s="213"/>
      <c r="C337" s="214"/>
      <c r="E337" s="213"/>
      <c r="F337" s="214"/>
      <c r="G337" s="105"/>
    </row>
    <row r="338">
      <c r="B338" s="213"/>
      <c r="C338" s="214"/>
      <c r="E338" s="213"/>
      <c r="F338" s="214"/>
      <c r="G338" s="105"/>
    </row>
    <row r="339">
      <c r="B339" s="213"/>
      <c r="C339" s="214"/>
      <c r="E339" s="213"/>
      <c r="F339" s="214"/>
      <c r="G339" s="105"/>
    </row>
    <row r="340">
      <c r="B340" s="213"/>
      <c r="C340" s="214"/>
      <c r="E340" s="213"/>
      <c r="F340" s="214"/>
      <c r="G340" s="105"/>
    </row>
    <row r="341">
      <c r="B341" s="213"/>
      <c r="C341" s="214"/>
      <c r="E341" s="213"/>
      <c r="F341" s="214"/>
      <c r="G341" s="105"/>
    </row>
    <row r="342">
      <c r="B342" s="213"/>
      <c r="C342" s="214"/>
      <c r="E342" s="213"/>
      <c r="F342" s="214"/>
      <c r="G342" s="105"/>
    </row>
    <row r="343">
      <c r="B343" s="213"/>
      <c r="C343" s="214"/>
      <c r="E343" s="213"/>
      <c r="F343" s="214"/>
      <c r="G343" s="105"/>
    </row>
    <row r="344">
      <c r="B344" s="213"/>
      <c r="C344" s="214"/>
      <c r="E344" s="213"/>
      <c r="F344" s="214"/>
      <c r="G344" s="105"/>
    </row>
    <row r="345">
      <c r="B345" s="213"/>
      <c r="C345" s="214"/>
      <c r="E345" s="213"/>
      <c r="F345" s="214"/>
      <c r="G345" s="105"/>
    </row>
    <row r="346">
      <c r="B346" s="213"/>
      <c r="C346" s="214"/>
      <c r="E346" s="213"/>
      <c r="F346" s="214"/>
      <c r="G346" s="105"/>
    </row>
    <row r="347">
      <c r="B347" s="213"/>
      <c r="C347" s="214"/>
      <c r="E347" s="213"/>
      <c r="F347" s="214"/>
      <c r="G347" s="105"/>
    </row>
    <row r="348">
      <c r="B348" s="213"/>
      <c r="C348" s="214"/>
      <c r="E348" s="213"/>
      <c r="F348" s="214"/>
      <c r="G348" s="105"/>
    </row>
    <row r="349">
      <c r="B349" s="213"/>
      <c r="C349" s="214"/>
      <c r="E349" s="213"/>
      <c r="F349" s="214"/>
      <c r="G349" s="105"/>
    </row>
    <row r="350">
      <c r="B350" s="213"/>
      <c r="C350" s="214"/>
      <c r="E350" s="213"/>
      <c r="F350" s="214"/>
      <c r="G350" s="105"/>
    </row>
    <row r="351">
      <c r="B351" s="213"/>
      <c r="C351" s="214"/>
      <c r="E351" s="213"/>
      <c r="F351" s="214"/>
      <c r="G351" s="105"/>
    </row>
    <row r="352">
      <c r="B352" s="213"/>
      <c r="C352" s="214"/>
      <c r="E352" s="213"/>
      <c r="F352" s="214"/>
      <c r="G352" s="105"/>
    </row>
    <row r="353">
      <c r="B353" s="213"/>
      <c r="C353" s="214"/>
      <c r="E353" s="213"/>
      <c r="F353" s="214"/>
      <c r="G353" s="105"/>
    </row>
    <row r="354">
      <c r="B354" s="213"/>
      <c r="C354" s="214"/>
      <c r="E354" s="213"/>
      <c r="F354" s="214"/>
      <c r="G354" s="105"/>
    </row>
    <row r="355">
      <c r="B355" s="213"/>
      <c r="C355" s="214"/>
      <c r="E355" s="213"/>
      <c r="F355" s="214"/>
      <c r="G355" s="105"/>
    </row>
    <row r="356">
      <c r="B356" s="213"/>
      <c r="C356" s="214"/>
      <c r="E356" s="213"/>
      <c r="F356" s="214"/>
      <c r="G356" s="105"/>
    </row>
    <row r="357">
      <c r="B357" s="213"/>
      <c r="C357" s="214"/>
      <c r="E357" s="213"/>
      <c r="F357" s="214"/>
      <c r="G357" s="105"/>
    </row>
    <row r="358">
      <c r="B358" s="213"/>
      <c r="C358" s="214"/>
      <c r="E358" s="213"/>
      <c r="F358" s="214"/>
      <c r="G358" s="105"/>
    </row>
    <row r="359">
      <c r="B359" s="213"/>
      <c r="C359" s="214"/>
      <c r="E359" s="213"/>
      <c r="F359" s="214"/>
      <c r="G359" s="105"/>
    </row>
    <row r="360">
      <c r="B360" s="213"/>
      <c r="C360" s="214"/>
      <c r="E360" s="213"/>
      <c r="F360" s="214"/>
      <c r="G360" s="105"/>
    </row>
    <row r="361">
      <c r="B361" s="213"/>
      <c r="C361" s="214"/>
      <c r="E361" s="213"/>
      <c r="F361" s="214"/>
      <c r="G361" s="105"/>
    </row>
    <row r="362">
      <c r="B362" s="213"/>
      <c r="C362" s="214"/>
      <c r="E362" s="213"/>
      <c r="F362" s="214"/>
      <c r="G362" s="105"/>
    </row>
    <row r="363">
      <c r="B363" s="213"/>
      <c r="C363" s="214"/>
      <c r="E363" s="213"/>
      <c r="F363" s="214"/>
      <c r="G363" s="105"/>
    </row>
    <row r="364">
      <c r="B364" s="213"/>
      <c r="C364" s="214"/>
      <c r="E364" s="213"/>
      <c r="F364" s="214"/>
      <c r="G364" s="105"/>
    </row>
    <row r="365">
      <c r="B365" s="213"/>
      <c r="C365" s="214"/>
      <c r="E365" s="213"/>
      <c r="F365" s="214"/>
      <c r="G365" s="105"/>
    </row>
    <row r="366">
      <c r="B366" s="213"/>
      <c r="C366" s="214"/>
      <c r="E366" s="213"/>
      <c r="F366" s="214"/>
      <c r="G366" s="105"/>
    </row>
    <row r="367">
      <c r="B367" s="213"/>
      <c r="C367" s="214"/>
      <c r="E367" s="213"/>
      <c r="F367" s="214"/>
      <c r="G367" s="105"/>
    </row>
    <row r="368">
      <c r="B368" s="213"/>
      <c r="C368" s="214"/>
      <c r="E368" s="213"/>
      <c r="F368" s="214"/>
      <c r="G368" s="105"/>
    </row>
    <row r="369">
      <c r="B369" s="213"/>
      <c r="C369" s="214"/>
      <c r="E369" s="213"/>
      <c r="F369" s="214"/>
      <c r="G369" s="105"/>
    </row>
    <row r="370">
      <c r="B370" s="213"/>
      <c r="C370" s="214"/>
      <c r="E370" s="213"/>
      <c r="F370" s="214"/>
      <c r="G370" s="105"/>
    </row>
    <row r="371">
      <c r="B371" s="213"/>
      <c r="C371" s="214"/>
      <c r="E371" s="213"/>
      <c r="F371" s="214"/>
      <c r="G371" s="105"/>
    </row>
    <row r="372">
      <c r="B372" s="213"/>
      <c r="C372" s="214"/>
      <c r="E372" s="213"/>
      <c r="F372" s="214"/>
      <c r="G372" s="105"/>
    </row>
    <row r="373">
      <c r="B373" s="213"/>
      <c r="C373" s="214"/>
      <c r="E373" s="213"/>
      <c r="F373" s="214"/>
      <c r="G373" s="105"/>
    </row>
    <row r="374">
      <c r="B374" s="213"/>
      <c r="C374" s="214"/>
      <c r="E374" s="213"/>
      <c r="F374" s="214"/>
      <c r="G374" s="105"/>
    </row>
    <row r="375">
      <c r="B375" s="213"/>
      <c r="C375" s="214"/>
      <c r="E375" s="213"/>
      <c r="F375" s="214"/>
      <c r="G375" s="105"/>
    </row>
    <row r="376">
      <c r="B376" s="213"/>
      <c r="C376" s="214"/>
      <c r="E376" s="213"/>
      <c r="F376" s="214"/>
      <c r="G376" s="105"/>
    </row>
    <row r="377">
      <c r="B377" s="213"/>
      <c r="C377" s="214"/>
      <c r="E377" s="213"/>
      <c r="F377" s="214"/>
      <c r="G377" s="105"/>
    </row>
    <row r="378">
      <c r="B378" s="213"/>
      <c r="C378" s="214"/>
      <c r="E378" s="213"/>
      <c r="F378" s="214"/>
      <c r="G378" s="105"/>
    </row>
    <row r="379">
      <c r="B379" s="213"/>
      <c r="C379" s="214"/>
      <c r="E379" s="213"/>
      <c r="F379" s="214"/>
      <c r="G379" s="105"/>
    </row>
    <row r="380">
      <c r="B380" s="213"/>
      <c r="C380" s="214"/>
      <c r="E380" s="213"/>
      <c r="F380" s="214"/>
      <c r="G380" s="105"/>
    </row>
    <row r="381">
      <c r="B381" s="213"/>
      <c r="C381" s="214"/>
      <c r="E381" s="213"/>
      <c r="F381" s="214"/>
      <c r="G381" s="105"/>
    </row>
    <row r="382">
      <c r="B382" s="213"/>
      <c r="C382" s="214"/>
      <c r="E382" s="213"/>
      <c r="F382" s="214"/>
      <c r="G382" s="105"/>
    </row>
    <row r="383">
      <c r="B383" s="213"/>
      <c r="C383" s="214"/>
      <c r="E383" s="213"/>
      <c r="F383" s="214"/>
      <c r="G383" s="105"/>
    </row>
    <row r="384">
      <c r="B384" s="213"/>
      <c r="C384" s="214"/>
      <c r="E384" s="213"/>
      <c r="F384" s="214"/>
      <c r="G384" s="105"/>
    </row>
    <row r="385">
      <c r="B385" s="213"/>
      <c r="C385" s="214"/>
      <c r="E385" s="213"/>
      <c r="F385" s="214"/>
      <c r="G385" s="105"/>
    </row>
    <row r="386">
      <c r="B386" s="213"/>
      <c r="C386" s="214"/>
      <c r="E386" s="213"/>
      <c r="F386" s="214"/>
      <c r="G386" s="105"/>
    </row>
    <row r="387">
      <c r="B387" s="213"/>
      <c r="C387" s="214"/>
      <c r="E387" s="213"/>
      <c r="F387" s="214"/>
      <c r="G387" s="105"/>
    </row>
    <row r="388">
      <c r="B388" s="213"/>
      <c r="C388" s="214"/>
      <c r="E388" s="213"/>
      <c r="F388" s="214"/>
      <c r="G388" s="105"/>
    </row>
    <row r="389">
      <c r="B389" s="213"/>
      <c r="C389" s="214"/>
      <c r="E389" s="213"/>
      <c r="F389" s="214"/>
      <c r="G389" s="105"/>
    </row>
    <row r="390">
      <c r="B390" s="213"/>
      <c r="C390" s="214"/>
      <c r="E390" s="213"/>
      <c r="F390" s="214"/>
      <c r="G390" s="105"/>
    </row>
    <row r="391">
      <c r="B391" s="213"/>
      <c r="C391" s="214"/>
      <c r="E391" s="213"/>
      <c r="F391" s="214"/>
      <c r="G391" s="105"/>
    </row>
    <row r="392">
      <c r="B392" s="213"/>
      <c r="C392" s="214"/>
      <c r="E392" s="213"/>
      <c r="F392" s="214"/>
      <c r="G392" s="105"/>
    </row>
    <row r="393">
      <c r="B393" s="213"/>
      <c r="C393" s="214"/>
      <c r="E393" s="213"/>
      <c r="F393" s="214"/>
      <c r="G393" s="105"/>
    </row>
    <row r="394">
      <c r="B394" s="213"/>
      <c r="C394" s="214"/>
      <c r="E394" s="213"/>
      <c r="F394" s="214"/>
      <c r="G394" s="105"/>
    </row>
    <row r="395">
      <c r="B395" s="213"/>
      <c r="C395" s="214"/>
      <c r="E395" s="213"/>
      <c r="F395" s="214"/>
      <c r="G395" s="105"/>
    </row>
    <row r="396">
      <c r="B396" s="213"/>
      <c r="C396" s="214"/>
      <c r="E396" s="213"/>
      <c r="F396" s="214"/>
      <c r="G396" s="105"/>
    </row>
    <row r="397">
      <c r="B397" s="213"/>
      <c r="C397" s="214"/>
      <c r="E397" s="213"/>
      <c r="F397" s="214"/>
      <c r="G397" s="105"/>
    </row>
    <row r="398">
      <c r="B398" s="213"/>
      <c r="C398" s="214"/>
      <c r="E398" s="213"/>
      <c r="F398" s="214"/>
      <c r="G398" s="105"/>
    </row>
    <row r="399">
      <c r="B399" s="213"/>
      <c r="C399" s="214"/>
      <c r="E399" s="213"/>
      <c r="F399" s="214"/>
      <c r="G399" s="105"/>
    </row>
    <row r="400">
      <c r="B400" s="213"/>
      <c r="C400" s="214"/>
      <c r="E400" s="213"/>
      <c r="F400" s="214"/>
      <c r="G400" s="105"/>
    </row>
    <row r="401">
      <c r="B401" s="213"/>
      <c r="C401" s="214"/>
      <c r="E401" s="213"/>
      <c r="F401" s="214"/>
      <c r="G401" s="105"/>
    </row>
    <row r="402">
      <c r="B402" s="213"/>
      <c r="C402" s="214"/>
      <c r="E402" s="213"/>
      <c r="F402" s="214"/>
      <c r="G402" s="105"/>
    </row>
    <row r="403">
      <c r="B403" s="213"/>
      <c r="C403" s="214"/>
      <c r="E403" s="213"/>
      <c r="F403" s="214"/>
      <c r="G403" s="105"/>
    </row>
    <row r="404">
      <c r="B404" s="213"/>
      <c r="C404" s="214"/>
      <c r="E404" s="213"/>
      <c r="F404" s="214"/>
      <c r="G404" s="105"/>
    </row>
    <row r="405">
      <c r="B405" s="213"/>
      <c r="C405" s="214"/>
      <c r="E405" s="213"/>
      <c r="F405" s="214"/>
      <c r="G405" s="105"/>
    </row>
    <row r="406">
      <c r="B406" s="213"/>
      <c r="C406" s="214"/>
      <c r="E406" s="213"/>
      <c r="F406" s="214"/>
      <c r="G406" s="105"/>
    </row>
    <row r="407">
      <c r="B407" s="213"/>
      <c r="C407" s="214"/>
      <c r="E407" s="213"/>
      <c r="F407" s="214"/>
      <c r="G407" s="105"/>
    </row>
    <row r="408">
      <c r="B408" s="213"/>
      <c r="C408" s="214"/>
      <c r="E408" s="213"/>
      <c r="F408" s="214"/>
      <c r="G408" s="105"/>
    </row>
    <row r="409">
      <c r="B409" s="213"/>
      <c r="C409" s="214"/>
      <c r="E409" s="213"/>
      <c r="F409" s="214"/>
      <c r="G409" s="105"/>
    </row>
    <row r="410">
      <c r="B410" s="213"/>
      <c r="C410" s="214"/>
      <c r="E410" s="213"/>
      <c r="F410" s="214"/>
      <c r="G410" s="105"/>
    </row>
    <row r="411">
      <c r="B411" s="213"/>
      <c r="C411" s="214"/>
      <c r="E411" s="213"/>
      <c r="F411" s="214"/>
      <c r="G411" s="105"/>
    </row>
    <row r="412">
      <c r="B412" s="213"/>
      <c r="C412" s="214"/>
      <c r="E412" s="213"/>
      <c r="F412" s="214"/>
      <c r="G412" s="105"/>
    </row>
    <row r="413">
      <c r="B413" s="213"/>
      <c r="C413" s="214"/>
      <c r="E413" s="213"/>
      <c r="F413" s="214"/>
      <c r="G413" s="105"/>
    </row>
    <row r="414">
      <c r="B414" s="213"/>
      <c r="C414" s="214"/>
      <c r="E414" s="213"/>
      <c r="F414" s="214"/>
      <c r="G414" s="105"/>
    </row>
    <row r="415">
      <c r="B415" s="213"/>
      <c r="C415" s="214"/>
      <c r="E415" s="213"/>
      <c r="F415" s="214"/>
      <c r="G415" s="105"/>
    </row>
    <row r="416">
      <c r="B416" s="213"/>
      <c r="C416" s="214"/>
      <c r="E416" s="213"/>
      <c r="F416" s="214"/>
      <c r="G416" s="105"/>
    </row>
    <row r="417">
      <c r="B417" s="213"/>
      <c r="C417" s="214"/>
      <c r="E417" s="213"/>
      <c r="F417" s="214"/>
      <c r="G417" s="105"/>
    </row>
    <row r="418">
      <c r="B418" s="213"/>
      <c r="C418" s="214"/>
      <c r="E418" s="213"/>
      <c r="F418" s="214"/>
      <c r="G418" s="105"/>
    </row>
    <row r="419">
      <c r="B419" s="213"/>
      <c r="C419" s="214"/>
      <c r="E419" s="213"/>
      <c r="F419" s="214"/>
      <c r="G419" s="105"/>
    </row>
    <row r="420">
      <c r="B420" s="213"/>
      <c r="C420" s="214"/>
      <c r="E420" s="213"/>
      <c r="F420" s="214"/>
      <c r="G420" s="105"/>
    </row>
    <row r="421">
      <c r="B421" s="213"/>
      <c r="C421" s="214"/>
      <c r="E421" s="213"/>
      <c r="F421" s="214"/>
      <c r="G421" s="105"/>
    </row>
    <row r="422">
      <c r="B422" s="213"/>
      <c r="C422" s="214"/>
      <c r="E422" s="213"/>
      <c r="F422" s="214"/>
      <c r="G422" s="105"/>
    </row>
    <row r="423">
      <c r="B423" s="213"/>
      <c r="C423" s="214"/>
      <c r="E423" s="213"/>
      <c r="F423" s="214"/>
      <c r="G423" s="105"/>
    </row>
    <row r="424">
      <c r="B424" s="213"/>
      <c r="C424" s="214"/>
      <c r="E424" s="213"/>
      <c r="F424" s="214"/>
      <c r="G424" s="105"/>
    </row>
    <row r="425">
      <c r="B425" s="213"/>
      <c r="C425" s="214"/>
      <c r="E425" s="213"/>
      <c r="F425" s="214"/>
      <c r="G425" s="105"/>
    </row>
    <row r="426">
      <c r="B426" s="213"/>
      <c r="C426" s="214"/>
      <c r="E426" s="213"/>
      <c r="F426" s="214"/>
      <c r="G426" s="105"/>
    </row>
    <row r="427">
      <c r="B427" s="213"/>
      <c r="C427" s="214"/>
      <c r="E427" s="213"/>
      <c r="F427" s="214"/>
      <c r="G427" s="105"/>
    </row>
    <row r="428">
      <c r="B428" s="213"/>
      <c r="C428" s="214"/>
      <c r="E428" s="213"/>
      <c r="F428" s="214"/>
      <c r="G428" s="105"/>
    </row>
    <row r="429">
      <c r="B429" s="213"/>
      <c r="C429" s="214"/>
      <c r="E429" s="213"/>
      <c r="F429" s="214"/>
      <c r="G429" s="105"/>
    </row>
    <row r="430">
      <c r="B430" s="213"/>
      <c r="C430" s="214"/>
      <c r="E430" s="213"/>
      <c r="F430" s="214"/>
      <c r="G430" s="105"/>
    </row>
    <row r="431">
      <c r="B431" s="213"/>
      <c r="C431" s="214"/>
      <c r="E431" s="213"/>
      <c r="F431" s="214"/>
      <c r="G431" s="105"/>
    </row>
    <row r="432">
      <c r="B432" s="213"/>
      <c r="C432" s="214"/>
      <c r="E432" s="213"/>
      <c r="F432" s="214"/>
      <c r="G432" s="105"/>
    </row>
    <row r="433">
      <c r="B433" s="213"/>
      <c r="C433" s="214"/>
      <c r="E433" s="213"/>
      <c r="F433" s="214"/>
      <c r="G433" s="105"/>
    </row>
    <row r="434">
      <c r="B434" s="213"/>
      <c r="C434" s="214"/>
      <c r="E434" s="213"/>
      <c r="F434" s="214"/>
      <c r="G434" s="105"/>
    </row>
    <row r="435">
      <c r="B435" s="213"/>
      <c r="C435" s="214"/>
      <c r="E435" s="213"/>
      <c r="F435" s="214"/>
      <c r="G435" s="105"/>
    </row>
    <row r="436">
      <c r="B436" s="213"/>
      <c r="C436" s="214"/>
      <c r="E436" s="213"/>
      <c r="F436" s="214"/>
      <c r="G436" s="105"/>
    </row>
    <row r="437">
      <c r="B437" s="213"/>
      <c r="C437" s="214"/>
      <c r="E437" s="213"/>
      <c r="F437" s="214"/>
      <c r="G437" s="105"/>
    </row>
    <row r="438">
      <c r="B438" s="213"/>
      <c r="C438" s="214"/>
      <c r="E438" s="213"/>
      <c r="F438" s="214"/>
      <c r="G438" s="105"/>
    </row>
    <row r="439">
      <c r="B439" s="213"/>
      <c r="C439" s="214"/>
      <c r="E439" s="213"/>
      <c r="F439" s="214"/>
      <c r="G439" s="105"/>
    </row>
    <row r="440">
      <c r="B440" s="213"/>
      <c r="C440" s="214"/>
      <c r="E440" s="213"/>
      <c r="F440" s="214"/>
      <c r="G440" s="105"/>
    </row>
    <row r="441">
      <c r="B441" s="213"/>
      <c r="C441" s="214"/>
      <c r="E441" s="213"/>
      <c r="F441" s="214"/>
      <c r="G441" s="105"/>
    </row>
    <row r="442">
      <c r="B442" s="213"/>
      <c r="C442" s="214"/>
      <c r="E442" s="213"/>
      <c r="F442" s="214"/>
      <c r="G442" s="105"/>
    </row>
    <row r="443">
      <c r="B443" s="213"/>
      <c r="C443" s="214"/>
      <c r="E443" s="213"/>
      <c r="F443" s="214"/>
      <c r="G443" s="105"/>
    </row>
    <row r="444">
      <c r="B444" s="213"/>
      <c r="C444" s="214"/>
      <c r="E444" s="213"/>
      <c r="F444" s="214"/>
      <c r="G444" s="105"/>
    </row>
    <row r="445">
      <c r="B445" s="213"/>
      <c r="C445" s="214"/>
      <c r="E445" s="213"/>
      <c r="F445" s="214"/>
      <c r="G445" s="105"/>
    </row>
    <row r="446">
      <c r="B446" s="213"/>
      <c r="C446" s="214"/>
      <c r="E446" s="213"/>
      <c r="F446" s="214"/>
      <c r="G446" s="105"/>
    </row>
    <row r="447">
      <c r="B447" s="213"/>
      <c r="C447" s="214"/>
      <c r="E447" s="213"/>
      <c r="F447" s="214"/>
      <c r="G447" s="105"/>
    </row>
    <row r="448">
      <c r="B448" s="213"/>
      <c r="C448" s="214"/>
      <c r="E448" s="213"/>
      <c r="F448" s="214"/>
      <c r="G448" s="105"/>
    </row>
    <row r="449">
      <c r="B449" s="213"/>
      <c r="C449" s="214"/>
      <c r="E449" s="213"/>
      <c r="F449" s="214"/>
      <c r="G449" s="105"/>
    </row>
    <row r="450">
      <c r="B450" s="213"/>
      <c r="C450" s="214"/>
      <c r="E450" s="213"/>
      <c r="F450" s="214"/>
      <c r="G450" s="105"/>
    </row>
    <row r="451">
      <c r="B451" s="213"/>
      <c r="C451" s="214"/>
      <c r="E451" s="213"/>
      <c r="F451" s="214"/>
      <c r="G451" s="105"/>
    </row>
    <row r="452">
      <c r="B452" s="213"/>
      <c r="C452" s="214"/>
      <c r="E452" s="213"/>
      <c r="F452" s="214"/>
      <c r="G452" s="105"/>
    </row>
    <row r="453">
      <c r="B453" s="213"/>
      <c r="C453" s="214"/>
      <c r="E453" s="213"/>
      <c r="F453" s="214"/>
      <c r="G453" s="105"/>
    </row>
    <row r="454">
      <c r="B454" s="213"/>
      <c r="C454" s="214"/>
      <c r="E454" s="213"/>
      <c r="F454" s="214"/>
      <c r="G454" s="105"/>
    </row>
    <row r="455">
      <c r="B455" s="213"/>
      <c r="C455" s="214"/>
      <c r="E455" s="213"/>
      <c r="F455" s="214"/>
      <c r="G455" s="105"/>
    </row>
    <row r="456">
      <c r="B456" s="213"/>
      <c r="C456" s="214"/>
      <c r="E456" s="213"/>
      <c r="F456" s="214"/>
      <c r="G456" s="105"/>
    </row>
    <row r="457">
      <c r="B457" s="213"/>
      <c r="C457" s="214"/>
      <c r="E457" s="213"/>
      <c r="F457" s="214"/>
      <c r="G457" s="105"/>
    </row>
    <row r="458">
      <c r="B458" s="213"/>
      <c r="C458" s="214"/>
      <c r="E458" s="213"/>
      <c r="F458" s="214"/>
      <c r="G458" s="105"/>
    </row>
    <row r="459">
      <c r="B459" s="213"/>
      <c r="C459" s="214"/>
      <c r="E459" s="213"/>
      <c r="F459" s="214"/>
      <c r="G459" s="105"/>
    </row>
    <row r="460">
      <c r="B460" s="213"/>
      <c r="C460" s="214"/>
      <c r="E460" s="213"/>
      <c r="F460" s="214"/>
      <c r="G460" s="105"/>
    </row>
    <row r="461">
      <c r="B461" s="213"/>
      <c r="C461" s="214"/>
      <c r="E461" s="213"/>
      <c r="F461" s="214"/>
      <c r="G461" s="105"/>
    </row>
    <row r="462">
      <c r="B462" s="213"/>
      <c r="C462" s="214"/>
      <c r="E462" s="213"/>
      <c r="F462" s="214"/>
      <c r="G462" s="105"/>
    </row>
    <row r="463">
      <c r="B463" s="213"/>
      <c r="C463" s="214"/>
      <c r="E463" s="213"/>
      <c r="F463" s="214"/>
      <c r="G463" s="105"/>
    </row>
    <row r="464">
      <c r="B464" s="213"/>
      <c r="C464" s="214"/>
      <c r="E464" s="213"/>
      <c r="F464" s="214"/>
      <c r="G464" s="105"/>
    </row>
    <row r="465">
      <c r="B465" s="213"/>
      <c r="C465" s="214"/>
      <c r="E465" s="213"/>
      <c r="F465" s="214"/>
      <c r="G465" s="105"/>
    </row>
    <row r="466">
      <c r="B466" s="213"/>
      <c r="C466" s="214"/>
      <c r="E466" s="213"/>
      <c r="F466" s="214"/>
      <c r="G466" s="105"/>
    </row>
    <row r="467">
      <c r="B467" s="213"/>
      <c r="C467" s="214"/>
      <c r="E467" s="213"/>
      <c r="F467" s="214"/>
      <c r="G467" s="105"/>
    </row>
    <row r="468">
      <c r="B468" s="213"/>
      <c r="C468" s="214"/>
      <c r="E468" s="213"/>
      <c r="F468" s="214"/>
      <c r="G468" s="105"/>
    </row>
    <row r="469">
      <c r="B469" s="213"/>
      <c r="C469" s="214"/>
      <c r="E469" s="213"/>
      <c r="F469" s="214"/>
      <c r="G469" s="105"/>
    </row>
    <row r="470">
      <c r="B470" s="213"/>
      <c r="C470" s="214"/>
      <c r="E470" s="213"/>
      <c r="F470" s="214"/>
      <c r="G470" s="105"/>
    </row>
    <row r="471">
      <c r="B471" s="213"/>
      <c r="C471" s="214"/>
      <c r="E471" s="213"/>
      <c r="F471" s="214"/>
      <c r="G471" s="105"/>
    </row>
    <row r="472">
      <c r="B472" s="213"/>
      <c r="C472" s="214"/>
      <c r="E472" s="213"/>
      <c r="F472" s="214"/>
      <c r="G472" s="105"/>
    </row>
    <row r="473">
      <c r="B473" s="213"/>
      <c r="C473" s="214"/>
      <c r="E473" s="213"/>
      <c r="F473" s="214"/>
      <c r="G473" s="105"/>
    </row>
    <row r="474">
      <c r="B474" s="213"/>
      <c r="C474" s="214"/>
      <c r="E474" s="213"/>
      <c r="F474" s="214"/>
      <c r="G474" s="105"/>
    </row>
    <row r="475">
      <c r="B475" s="213"/>
      <c r="C475" s="214"/>
      <c r="E475" s="213"/>
      <c r="F475" s="214"/>
      <c r="G475" s="105"/>
    </row>
    <row r="476">
      <c r="B476" s="213"/>
      <c r="C476" s="214"/>
      <c r="E476" s="213"/>
      <c r="F476" s="214"/>
      <c r="G476" s="105"/>
    </row>
    <row r="477">
      <c r="B477" s="213"/>
      <c r="C477" s="214"/>
      <c r="E477" s="213"/>
      <c r="F477" s="214"/>
      <c r="G477" s="105"/>
    </row>
    <row r="478">
      <c r="B478" s="213"/>
      <c r="C478" s="214"/>
      <c r="E478" s="213"/>
      <c r="F478" s="214"/>
      <c r="G478" s="105"/>
    </row>
    <row r="479">
      <c r="B479" s="213"/>
      <c r="C479" s="214"/>
      <c r="E479" s="213"/>
      <c r="F479" s="214"/>
      <c r="G479" s="105"/>
    </row>
    <row r="480">
      <c r="B480" s="213"/>
      <c r="C480" s="214"/>
      <c r="E480" s="213"/>
      <c r="F480" s="214"/>
      <c r="G480" s="105"/>
    </row>
    <row r="481">
      <c r="B481" s="213"/>
      <c r="C481" s="214"/>
      <c r="E481" s="213"/>
      <c r="F481" s="214"/>
      <c r="G481" s="105"/>
    </row>
    <row r="482">
      <c r="B482" s="213"/>
      <c r="C482" s="214"/>
      <c r="E482" s="213"/>
      <c r="F482" s="214"/>
      <c r="G482" s="105"/>
    </row>
    <row r="483">
      <c r="B483" s="213"/>
      <c r="C483" s="214"/>
      <c r="E483" s="213"/>
      <c r="F483" s="214"/>
      <c r="G483" s="105"/>
    </row>
    <row r="484">
      <c r="B484" s="213"/>
      <c r="C484" s="214"/>
      <c r="E484" s="213"/>
      <c r="F484" s="214"/>
      <c r="G484" s="105"/>
    </row>
    <row r="485">
      <c r="B485" s="213"/>
      <c r="C485" s="214"/>
      <c r="E485" s="213"/>
      <c r="F485" s="214"/>
      <c r="G485" s="105"/>
    </row>
    <row r="486">
      <c r="B486" s="213"/>
      <c r="C486" s="214"/>
      <c r="E486" s="213"/>
      <c r="F486" s="214"/>
      <c r="G486" s="105"/>
    </row>
    <row r="487">
      <c r="B487" s="213"/>
      <c r="C487" s="214"/>
      <c r="E487" s="213"/>
      <c r="F487" s="214"/>
      <c r="G487" s="105"/>
    </row>
    <row r="488">
      <c r="B488" s="213"/>
      <c r="C488" s="214"/>
      <c r="E488" s="213"/>
      <c r="F488" s="214"/>
      <c r="G488" s="105"/>
    </row>
    <row r="489">
      <c r="B489" s="213"/>
      <c r="C489" s="214"/>
      <c r="E489" s="213"/>
      <c r="F489" s="214"/>
      <c r="G489" s="105"/>
    </row>
    <row r="490">
      <c r="B490" s="213"/>
      <c r="C490" s="214"/>
      <c r="E490" s="213"/>
      <c r="F490" s="214"/>
      <c r="G490" s="105"/>
    </row>
    <row r="491">
      <c r="B491" s="213"/>
      <c r="C491" s="214"/>
      <c r="E491" s="213"/>
      <c r="F491" s="214"/>
      <c r="G491" s="105"/>
    </row>
    <row r="492">
      <c r="B492" s="213"/>
      <c r="C492" s="214"/>
      <c r="E492" s="213"/>
      <c r="F492" s="214"/>
      <c r="G492" s="105"/>
    </row>
    <row r="493">
      <c r="B493" s="213"/>
      <c r="C493" s="214"/>
      <c r="E493" s="213"/>
      <c r="F493" s="214"/>
      <c r="G493" s="105"/>
    </row>
    <row r="494">
      <c r="B494" s="213"/>
      <c r="C494" s="214"/>
      <c r="E494" s="213"/>
      <c r="F494" s="214"/>
      <c r="G494" s="105"/>
    </row>
    <row r="495">
      <c r="B495" s="213"/>
      <c r="C495" s="214"/>
      <c r="E495" s="213"/>
      <c r="F495" s="214"/>
      <c r="G495" s="105"/>
    </row>
    <row r="496">
      <c r="B496" s="213"/>
      <c r="C496" s="214"/>
      <c r="E496" s="213"/>
      <c r="F496" s="214"/>
      <c r="G496" s="105"/>
    </row>
    <row r="497">
      <c r="B497" s="213"/>
      <c r="C497" s="214"/>
      <c r="E497" s="213"/>
      <c r="F497" s="214"/>
      <c r="G497" s="105"/>
    </row>
    <row r="498">
      <c r="B498" s="213"/>
      <c r="C498" s="214"/>
      <c r="E498" s="213"/>
      <c r="F498" s="214"/>
      <c r="G498" s="105"/>
    </row>
    <row r="499">
      <c r="B499" s="213"/>
      <c r="C499" s="214"/>
      <c r="E499" s="213"/>
      <c r="F499" s="214"/>
      <c r="G499" s="105"/>
    </row>
    <row r="500">
      <c r="B500" s="213"/>
      <c r="C500" s="214"/>
      <c r="E500" s="213"/>
      <c r="F500" s="214"/>
      <c r="G500" s="105"/>
    </row>
    <row r="501">
      <c r="B501" s="213"/>
      <c r="C501" s="214"/>
      <c r="E501" s="213"/>
      <c r="F501" s="214"/>
      <c r="G501" s="105"/>
    </row>
    <row r="502">
      <c r="B502" s="213"/>
      <c r="C502" s="214"/>
      <c r="E502" s="213"/>
      <c r="F502" s="214"/>
      <c r="G502" s="105"/>
    </row>
    <row r="503">
      <c r="B503" s="213"/>
      <c r="C503" s="214"/>
      <c r="E503" s="213"/>
      <c r="F503" s="214"/>
      <c r="G503" s="105"/>
    </row>
    <row r="504">
      <c r="B504" s="213"/>
      <c r="C504" s="214"/>
      <c r="E504" s="213"/>
      <c r="F504" s="214"/>
      <c r="G504" s="105"/>
    </row>
    <row r="505">
      <c r="B505" s="213"/>
      <c r="C505" s="214"/>
      <c r="E505" s="213"/>
      <c r="F505" s="214"/>
      <c r="G505" s="105"/>
    </row>
    <row r="506">
      <c r="B506" s="213"/>
      <c r="C506" s="214"/>
      <c r="E506" s="213"/>
      <c r="F506" s="214"/>
      <c r="G506" s="105"/>
    </row>
    <row r="507">
      <c r="B507" s="213"/>
      <c r="C507" s="214"/>
      <c r="E507" s="213"/>
      <c r="F507" s="214"/>
      <c r="G507" s="105"/>
    </row>
    <row r="508">
      <c r="B508" s="213"/>
      <c r="C508" s="214"/>
      <c r="E508" s="213"/>
      <c r="F508" s="214"/>
      <c r="G508" s="105"/>
    </row>
    <row r="509">
      <c r="B509" s="213"/>
      <c r="C509" s="214"/>
      <c r="E509" s="213"/>
      <c r="F509" s="214"/>
      <c r="G509" s="105"/>
    </row>
    <row r="510">
      <c r="B510" s="213"/>
      <c r="C510" s="214"/>
      <c r="E510" s="213"/>
      <c r="F510" s="214"/>
      <c r="G510" s="105"/>
    </row>
    <row r="511">
      <c r="B511" s="213"/>
      <c r="C511" s="214"/>
      <c r="E511" s="213"/>
      <c r="F511" s="214"/>
      <c r="G511" s="105"/>
    </row>
    <row r="512">
      <c r="B512" s="213"/>
      <c r="C512" s="214"/>
      <c r="E512" s="213"/>
      <c r="F512" s="214"/>
      <c r="G512" s="105"/>
    </row>
    <row r="513">
      <c r="B513" s="213"/>
      <c r="C513" s="214"/>
      <c r="E513" s="213"/>
      <c r="F513" s="214"/>
      <c r="G513" s="105"/>
    </row>
    <row r="514">
      <c r="B514" s="213"/>
      <c r="C514" s="214"/>
      <c r="E514" s="213"/>
      <c r="F514" s="214"/>
      <c r="G514" s="105"/>
    </row>
    <row r="515">
      <c r="B515" s="213"/>
      <c r="C515" s="214"/>
      <c r="E515" s="213"/>
      <c r="F515" s="214"/>
      <c r="G515" s="105"/>
    </row>
    <row r="516">
      <c r="B516" s="213"/>
      <c r="C516" s="214"/>
      <c r="E516" s="213"/>
      <c r="F516" s="214"/>
      <c r="G516" s="105"/>
    </row>
    <row r="517">
      <c r="B517" s="213"/>
      <c r="C517" s="214"/>
      <c r="E517" s="213"/>
      <c r="F517" s="214"/>
      <c r="G517" s="105"/>
    </row>
    <row r="518">
      <c r="B518" s="213"/>
      <c r="C518" s="214"/>
      <c r="E518" s="213"/>
      <c r="F518" s="214"/>
      <c r="G518" s="105"/>
    </row>
    <row r="519">
      <c r="B519" s="213"/>
      <c r="C519" s="214"/>
      <c r="E519" s="213"/>
      <c r="F519" s="214"/>
      <c r="G519" s="105"/>
    </row>
    <row r="520">
      <c r="B520" s="213"/>
      <c r="C520" s="214"/>
      <c r="E520" s="213"/>
      <c r="F520" s="214"/>
      <c r="G520" s="105"/>
    </row>
    <row r="521">
      <c r="B521" s="213"/>
      <c r="C521" s="214"/>
      <c r="E521" s="213"/>
      <c r="F521" s="214"/>
      <c r="G521" s="105"/>
    </row>
    <row r="522">
      <c r="B522" s="213"/>
      <c r="C522" s="214"/>
      <c r="E522" s="213"/>
      <c r="F522" s="214"/>
      <c r="G522" s="105"/>
    </row>
    <row r="523">
      <c r="B523" s="213"/>
      <c r="C523" s="214"/>
      <c r="E523" s="213"/>
      <c r="F523" s="214"/>
      <c r="G523" s="105"/>
    </row>
    <row r="524">
      <c r="B524" s="213"/>
      <c r="C524" s="214"/>
      <c r="E524" s="213"/>
      <c r="F524" s="214"/>
      <c r="G524" s="105"/>
    </row>
    <row r="525">
      <c r="B525" s="213"/>
      <c r="C525" s="214"/>
      <c r="E525" s="213"/>
      <c r="F525" s="214"/>
      <c r="G525" s="105"/>
    </row>
    <row r="526">
      <c r="B526" s="213"/>
      <c r="C526" s="214"/>
      <c r="E526" s="213"/>
      <c r="F526" s="214"/>
      <c r="G526" s="105"/>
    </row>
    <row r="527">
      <c r="B527" s="213"/>
      <c r="C527" s="214"/>
      <c r="E527" s="213"/>
      <c r="F527" s="214"/>
      <c r="G527" s="105"/>
    </row>
    <row r="528">
      <c r="B528" s="213"/>
      <c r="C528" s="214"/>
      <c r="E528" s="213"/>
      <c r="F528" s="214"/>
      <c r="G528" s="105"/>
    </row>
    <row r="529">
      <c r="B529" s="213"/>
      <c r="C529" s="214"/>
      <c r="E529" s="213"/>
      <c r="F529" s="214"/>
      <c r="G529" s="105"/>
    </row>
    <row r="530">
      <c r="B530" s="213"/>
      <c r="C530" s="214"/>
      <c r="E530" s="213"/>
      <c r="F530" s="214"/>
      <c r="G530" s="105"/>
    </row>
    <row r="531">
      <c r="B531" s="213"/>
      <c r="C531" s="214"/>
      <c r="E531" s="213"/>
      <c r="F531" s="214"/>
      <c r="G531" s="105"/>
    </row>
    <row r="532">
      <c r="B532" s="213"/>
      <c r="C532" s="214"/>
      <c r="E532" s="213"/>
      <c r="F532" s="214"/>
      <c r="G532" s="105"/>
    </row>
    <row r="533">
      <c r="B533" s="213"/>
      <c r="C533" s="214"/>
      <c r="E533" s="213"/>
      <c r="F533" s="214"/>
      <c r="G533" s="105"/>
    </row>
    <row r="534">
      <c r="B534" s="213"/>
      <c r="C534" s="214"/>
      <c r="E534" s="213"/>
      <c r="F534" s="214"/>
      <c r="G534" s="105"/>
    </row>
    <row r="535">
      <c r="B535" s="213"/>
      <c r="C535" s="214"/>
      <c r="E535" s="213"/>
      <c r="F535" s="214"/>
      <c r="G535" s="105"/>
    </row>
    <row r="536">
      <c r="B536" s="213"/>
      <c r="C536" s="214"/>
      <c r="E536" s="213"/>
      <c r="F536" s="214"/>
      <c r="G536" s="105"/>
    </row>
    <row r="537">
      <c r="B537" s="213"/>
      <c r="C537" s="214"/>
      <c r="E537" s="213"/>
      <c r="F537" s="214"/>
      <c r="G537" s="105"/>
    </row>
    <row r="538">
      <c r="B538" s="213"/>
      <c r="C538" s="214"/>
      <c r="E538" s="213"/>
      <c r="F538" s="214"/>
      <c r="G538" s="105"/>
    </row>
    <row r="539">
      <c r="B539" s="213"/>
      <c r="C539" s="214"/>
      <c r="E539" s="213"/>
      <c r="F539" s="214"/>
      <c r="G539" s="105"/>
    </row>
    <row r="540">
      <c r="B540" s="213"/>
      <c r="C540" s="214"/>
      <c r="E540" s="213"/>
      <c r="F540" s="214"/>
      <c r="G540" s="105"/>
    </row>
    <row r="541">
      <c r="B541" s="213"/>
      <c r="C541" s="214"/>
      <c r="E541" s="213"/>
      <c r="F541" s="214"/>
      <c r="G541" s="105"/>
    </row>
    <row r="542">
      <c r="B542" s="213"/>
      <c r="C542" s="214"/>
      <c r="E542" s="213"/>
      <c r="F542" s="214"/>
      <c r="G542" s="105"/>
    </row>
    <row r="543">
      <c r="B543" s="213"/>
      <c r="C543" s="214"/>
      <c r="E543" s="213"/>
      <c r="F543" s="214"/>
      <c r="G543" s="105"/>
    </row>
    <row r="544">
      <c r="B544" s="213"/>
      <c r="C544" s="214"/>
      <c r="E544" s="213"/>
      <c r="F544" s="214"/>
      <c r="G544" s="105"/>
    </row>
    <row r="545">
      <c r="B545" s="213"/>
      <c r="C545" s="214"/>
      <c r="E545" s="213"/>
      <c r="F545" s="214"/>
      <c r="G545" s="105"/>
    </row>
    <row r="546">
      <c r="B546" s="213"/>
      <c r="C546" s="214"/>
      <c r="E546" s="213"/>
      <c r="F546" s="214"/>
      <c r="G546" s="105"/>
    </row>
    <row r="547">
      <c r="B547" s="213"/>
      <c r="C547" s="214"/>
      <c r="E547" s="213"/>
      <c r="F547" s="214"/>
      <c r="G547" s="105"/>
    </row>
    <row r="548">
      <c r="B548" s="213"/>
      <c r="C548" s="214"/>
      <c r="E548" s="213"/>
      <c r="F548" s="214"/>
      <c r="G548" s="105"/>
    </row>
    <row r="549">
      <c r="B549" s="213"/>
      <c r="C549" s="214"/>
      <c r="E549" s="213"/>
      <c r="F549" s="214"/>
      <c r="G549" s="105"/>
    </row>
    <row r="550">
      <c r="B550" s="213"/>
      <c r="C550" s="214"/>
      <c r="E550" s="213"/>
      <c r="F550" s="214"/>
      <c r="G550" s="105"/>
    </row>
    <row r="551">
      <c r="B551" s="213"/>
      <c r="C551" s="214"/>
      <c r="E551" s="213"/>
      <c r="F551" s="214"/>
      <c r="G551" s="105"/>
    </row>
    <row r="552">
      <c r="B552" s="213"/>
      <c r="C552" s="214"/>
      <c r="E552" s="213"/>
      <c r="F552" s="214"/>
      <c r="G552" s="105"/>
    </row>
    <row r="553">
      <c r="B553" s="213"/>
      <c r="C553" s="214"/>
      <c r="E553" s="213"/>
      <c r="F553" s="214"/>
      <c r="G553" s="105"/>
    </row>
    <row r="554">
      <c r="B554" s="213"/>
      <c r="C554" s="214"/>
      <c r="E554" s="213"/>
      <c r="F554" s="214"/>
      <c r="G554" s="105"/>
    </row>
    <row r="555">
      <c r="B555" s="213"/>
      <c r="C555" s="214"/>
      <c r="E555" s="213"/>
      <c r="F555" s="214"/>
      <c r="G555" s="105"/>
    </row>
    <row r="556">
      <c r="B556" s="213"/>
      <c r="C556" s="214"/>
      <c r="E556" s="213"/>
      <c r="F556" s="214"/>
      <c r="G556" s="105"/>
    </row>
    <row r="557">
      <c r="B557" s="213"/>
      <c r="C557" s="214"/>
      <c r="E557" s="213"/>
      <c r="F557" s="214"/>
      <c r="G557" s="105"/>
    </row>
    <row r="558">
      <c r="B558" s="213"/>
      <c r="C558" s="214"/>
      <c r="E558" s="213"/>
      <c r="F558" s="214"/>
      <c r="G558" s="105"/>
    </row>
    <row r="559">
      <c r="B559" s="213"/>
      <c r="C559" s="214"/>
      <c r="E559" s="213"/>
      <c r="F559" s="214"/>
      <c r="G559" s="105"/>
    </row>
    <row r="560">
      <c r="B560" s="213"/>
      <c r="C560" s="214"/>
      <c r="E560" s="213"/>
      <c r="F560" s="214"/>
      <c r="G560" s="105"/>
    </row>
    <row r="561">
      <c r="B561" s="213"/>
      <c r="C561" s="214"/>
      <c r="E561" s="213"/>
      <c r="F561" s="214"/>
      <c r="G561" s="105"/>
    </row>
    <row r="562">
      <c r="B562" s="213"/>
      <c r="C562" s="214"/>
      <c r="E562" s="213"/>
      <c r="F562" s="214"/>
      <c r="G562" s="105"/>
    </row>
    <row r="563">
      <c r="B563" s="213"/>
      <c r="C563" s="214"/>
      <c r="E563" s="213"/>
      <c r="F563" s="214"/>
      <c r="G563" s="105"/>
    </row>
    <row r="564">
      <c r="B564" s="213"/>
      <c r="C564" s="214"/>
      <c r="E564" s="213"/>
      <c r="F564" s="214"/>
      <c r="G564" s="105"/>
    </row>
    <row r="565">
      <c r="B565" s="213"/>
      <c r="C565" s="214"/>
      <c r="E565" s="213"/>
      <c r="F565" s="214"/>
      <c r="G565" s="105"/>
    </row>
    <row r="566">
      <c r="B566" s="213"/>
      <c r="C566" s="214"/>
      <c r="E566" s="213"/>
      <c r="F566" s="214"/>
      <c r="G566" s="105"/>
    </row>
    <row r="567">
      <c r="B567" s="213"/>
      <c r="C567" s="214"/>
      <c r="E567" s="213"/>
      <c r="F567" s="214"/>
      <c r="G567" s="105"/>
    </row>
    <row r="568">
      <c r="B568" s="213"/>
      <c r="C568" s="214"/>
      <c r="E568" s="213"/>
      <c r="F568" s="214"/>
      <c r="G568" s="105"/>
    </row>
    <row r="569">
      <c r="B569" s="213"/>
      <c r="C569" s="214"/>
      <c r="E569" s="213"/>
      <c r="F569" s="214"/>
      <c r="G569" s="105"/>
    </row>
    <row r="570">
      <c r="B570" s="213"/>
      <c r="C570" s="214"/>
      <c r="E570" s="213"/>
      <c r="F570" s="214"/>
      <c r="G570" s="105"/>
    </row>
    <row r="571">
      <c r="B571" s="213"/>
      <c r="C571" s="214"/>
      <c r="E571" s="213"/>
      <c r="F571" s="214"/>
      <c r="G571" s="105"/>
    </row>
    <row r="572">
      <c r="B572" s="213"/>
      <c r="C572" s="214"/>
      <c r="E572" s="213"/>
      <c r="F572" s="214"/>
      <c r="G572" s="105"/>
    </row>
    <row r="573">
      <c r="B573" s="213"/>
      <c r="C573" s="214"/>
      <c r="E573" s="213"/>
      <c r="F573" s="214"/>
      <c r="G573" s="105"/>
    </row>
    <row r="574">
      <c r="B574" s="213"/>
      <c r="C574" s="214"/>
      <c r="E574" s="213"/>
      <c r="F574" s="214"/>
      <c r="G574" s="105"/>
    </row>
    <row r="575">
      <c r="B575" s="213"/>
      <c r="C575" s="214"/>
      <c r="E575" s="213"/>
      <c r="F575" s="214"/>
      <c r="G575" s="105"/>
    </row>
    <row r="576">
      <c r="B576" s="213"/>
      <c r="C576" s="214"/>
      <c r="E576" s="213"/>
      <c r="F576" s="214"/>
      <c r="G576" s="105"/>
    </row>
    <row r="577">
      <c r="B577" s="213"/>
      <c r="C577" s="214"/>
      <c r="E577" s="213"/>
      <c r="F577" s="214"/>
      <c r="G577" s="105"/>
    </row>
    <row r="578">
      <c r="B578" s="213"/>
      <c r="C578" s="214"/>
      <c r="E578" s="213"/>
      <c r="F578" s="214"/>
      <c r="G578" s="105"/>
    </row>
    <row r="579">
      <c r="B579" s="213"/>
      <c r="C579" s="214"/>
      <c r="E579" s="213"/>
      <c r="F579" s="214"/>
      <c r="G579" s="105"/>
    </row>
    <row r="580">
      <c r="B580" s="213"/>
      <c r="C580" s="214"/>
      <c r="E580" s="213"/>
      <c r="F580" s="214"/>
      <c r="G580" s="105"/>
    </row>
    <row r="581">
      <c r="B581" s="213"/>
      <c r="C581" s="214"/>
      <c r="E581" s="213"/>
      <c r="F581" s="214"/>
      <c r="G581" s="105"/>
    </row>
    <row r="582">
      <c r="B582" s="213"/>
      <c r="C582" s="214"/>
      <c r="E582" s="213"/>
      <c r="F582" s="214"/>
      <c r="G582" s="105"/>
    </row>
    <row r="583">
      <c r="B583" s="213"/>
      <c r="C583" s="214"/>
      <c r="E583" s="213"/>
      <c r="F583" s="214"/>
      <c r="G583" s="105"/>
    </row>
    <row r="584">
      <c r="B584" s="213"/>
      <c r="C584" s="214"/>
      <c r="E584" s="213"/>
      <c r="F584" s="214"/>
      <c r="G584" s="105"/>
    </row>
    <row r="585">
      <c r="B585" s="213"/>
      <c r="C585" s="214"/>
      <c r="E585" s="213"/>
      <c r="F585" s="214"/>
      <c r="G585" s="105"/>
    </row>
    <row r="586">
      <c r="B586" s="213"/>
      <c r="C586" s="214"/>
      <c r="E586" s="213"/>
      <c r="F586" s="214"/>
      <c r="G586" s="105"/>
    </row>
    <row r="587">
      <c r="B587" s="213"/>
      <c r="C587" s="214"/>
      <c r="E587" s="213"/>
      <c r="F587" s="214"/>
      <c r="G587" s="105"/>
    </row>
    <row r="588">
      <c r="B588" s="213"/>
      <c r="C588" s="214"/>
      <c r="E588" s="213"/>
      <c r="F588" s="214"/>
      <c r="G588" s="105"/>
    </row>
    <row r="589">
      <c r="B589" s="213"/>
      <c r="C589" s="214"/>
      <c r="E589" s="213"/>
      <c r="F589" s="214"/>
      <c r="G589" s="105"/>
    </row>
    <row r="590">
      <c r="B590" s="213"/>
      <c r="C590" s="214"/>
      <c r="E590" s="213"/>
      <c r="F590" s="214"/>
      <c r="G590" s="105"/>
    </row>
    <row r="591">
      <c r="B591" s="213"/>
      <c r="C591" s="214"/>
      <c r="E591" s="213"/>
      <c r="F591" s="214"/>
      <c r="G591" s="105"/>
    </row>
    <row r="592">
      <c r="B592" s="213"/>
      <c r="C592" s="214"/>
      <c r="E592" s="213"/>
      <c r="F592" s="214"/>
      <c r="G592" s="105"/>
    </row>
    <row r="593">
      <c r="B593" s="213"/>
      <c r="C593" s="214"/>
      <c r="E593" s="213"/>
      <c r="F593" s="214"/>
      <c r="G593" s="105"/>
    </row>
    <row r="594">
      <c r="B594" s="213"/>
      <c r="C594" s="214"/>
      <c r="E594" s="213"/>
      <c r="F594" s="214"/>
      <c r="G594" s="105"/>
    </row>
    <row r="595">
      <c r="B595" s="213"/>
      <c r="C595" s="214"/>
      <c r="E595" s="213"/>
      <c r="F595" s="214"/>
      <c r="G595" s="105"/>
    </row>
    <row r="596">
      <c r="B596" s="213"/>
      <c r="C596" s="214"/>
      <c r="E596" s="213"/>
      <c r="F596" s="214"/>
      <c r="G596" s="105"/>
    </row>
    <row r="597">
      <c r="B597" s="213"/>
      <c r="C597" s="214"/>
      <c r="E597" s="213"/>
      <c r="F597" s="214"/>
      <c r="G597" s="105"/>
    </row>
    <row r="598">
      <c r="B598" s="213"/>
      <c r="C598" s="214"/>
      <c r="E598" s="213"/>
      <c r="F598" s="214"/>
      <c r="G598" s="105"/>
    </row>
    <row r="599">
      <c r="B599" s="213"/>
      <c r="C599" s="214"/>
      <c r="E599" s="213"/>
      <c r="F599" s="214"/>
      <c r="G599" s="105"/>
    </row>
    <row r="600">
      <c r="B600" s="213"/>
      <c r="C600" s="214"/>
      <c r="E600" s="213"/>
      <c r="F600" s="214"/>
      <c r="G600" s="105"/>
    </row>
    <row r="601">
      <c r="B601" s="213"/>
      <c r="C601" s="214"/>
      <c r="E601" s="213"/>
      <c r="F601" s="214"/>
      <c r="G601" s="105"/>
    </row>
    <row r="602">
      <c r="B602" s="213"/>
      <c r="C602" s="214"/>
      <c r="E602" s="213"/>
      <c r="F602" s="214"/>
      <c r="G602" s="105"/>
    </row>
    <row r="603">
      <c r="B603" s="213"/>
      <c r="C603" s="214"/>
      <c r="E603" s="213"/>
      <c r="F603" s="214"/>
      <c r="G603" s="105"/>
    </row>
    <row r="604">
      <c r="B604" s="213"/>
      <c r="C604" s="214"/>
      <c r="E604" s="213"/>
      <c r="F604" s="214"/>
      <c r="G604" s="105"/>
    </row>
    <row r="605">
      <c r="B605" s="213"/>
      <c r="C605" s="214"/>
      <c r="E605" s="213"/>
      <c r="F605" s="214"/>
      <c r="G605" s="105"/>
    </row>
    <row r="606">
      <c r="B606" s="213"/>
      <c r="C606" s="214"/>
      <c r="E606" s="213"/>
      <c r="F606" s="214"/>
      <c r="G606" s="105"/>
    </row>
    <row r="607">
      <c r="B607" s="213"/>
      <c r="C607" s="214"/>
      <c r="E607" s="213"/>
      <c r="F607" s="214"/>
      <c r="G607" s="105"/>
    </row>
    <row r="608">
      <c r="B608" s="213"/>
      <c r="C608" s="214"/>
      <c r="E608" s="213"/>
      <c r="F608" s="214"/>
      <c r="G608" s="105"/>
    </row>
    <row r="609">
      <c r="B609" s="213"/>
      <c r="C609" s="214"/>
      <c r="E609" s="213"/>
      <c r="F609" s="214"/>
      <c r="G609" s="105"/>
    </row>
    <row r="610">
      <c r="B610" s="213"/>
      <c r="C610" s="214"/>
      <c r="E610" s="213"/>
      <c r="F610" s="214"/>
      <c r="G610" s="105"/>
    </row>
    <row r="611">
      <c r="B611" s="213"/>
      <c r="C611" s="214"/>
      <c r="E611" s="213"/>
      <c r="F611" s="214"/>
      <c r="G611" s="105"/>
    </row>
    <row r="612">
      <c r="B612" s="213"/>
      <c r="C612" s="214"/>
      <c r="E612" s="213"/>
      <c r="F612" s="214"/>
      <c r="G612" s="105"/>
    </row>
    <row r="613">
      <c r="B613" s="213"/>
      <c r="C613" s="214"/>
      <c r="E613" s="213"/>
      <c r="F613" s="214"/>
      <c r="G613" s="105"/>
    </row>
    <row r="614">
      <c r="B614" s="213"/>
      <c r="C614" s="214"/>
      <c r="E614" s="213"/>
      <c r="F614" s="214"/>
      <c r="G614" s="105"/>
    </row>
    <row r="615">
      <c r="B615" s="213"/>
      <c r="C615" s="214"/>
      <c r="E615" s="213"/>
      <c r="F615" s="214"/>
      <c r="G615" s="105"/>
    </row>
    <row r="616">
      <c r="B616" s="213"/>
      <c r="C616" s="214"/>
      <c r="E616" s="213"/>
      <c r="F616" s="214"/>
      <c r="G616" s="105"/>
    </row>
    <row r="617">
      <c r="B617" s="213"/>
      <c r="C617" s="214"/>
      <c r="E617" s="213"/>
      <c r="F617" s="214"/>
      <c r="G617" s="105"/>
    </row>
    <row r="618">
      <c r="B618" s="213"/>
      <c r="C618" s="214"/>
      <c r="E618" s="213"/>
      <c r="F618" s="214"/>
      <c r="G618" s="105"/>
    </row>
    <row r="619">
      <c r="B619" s="213"/>
      <c r="C619" s="214"/>
      <c r="E619" s="213"/>
      <c r="F619" s="214"/>
      <c r="G619" s="105"/>
    </row>
    <row r="620">
      <c r="B620" s="213"/>
      <c r="C620" s="214"/>
      <c r="E620" s="213"/>
      <c r="F620" s="214"/>
      <c r="G620" s="105"/>
    </row>
    <row r="621">
      <c r="B621" s="213"/>
      <c r="C621" s="214"/>
      <c r="E621" s="213"/>
      <c r="F621" s="214"/>
      <c r="G621" s="105"/>
    </row>
    <row r="622">
      <c r="B622" s="213"/>
      <c r="C622" s="214"/>
      <c r="E622" s="213"/>
      <c r="F622" s="214"/>
      <c r="G622" s="105"/>
    </row>
    <row r="623">
      <c r="B623" s="213"/>
      <c r="C623" s="214"/>
      <c r="E623" s="213"/>
      <c r="F623" s="214"/>
      <c r="G623" s="105"/>
    </row>
    <row r="624">
      <c r="B624" s="213"/>
      <c r="C624" s="214"/>
      <c r="E624" s="213"/>
      <c r="F624" s="214"/>
      <c r="G624" s="105"/>
    </row>
    <row r="625">
      <c r="B625" s="213"/>
      <c r="C625" s="214"/>
      <c r="E625" s="213"/>
      <c r="F625" s="214"/>
      <c r="G625" s="105"/>
    </row>
    <row r="626">
      <c r="B626" s="213"/>
      <c r="C626" s="214"/>
      <c r="E626" s="213"/>
      <c r="F626" s="214"/>
      <c r="G626" s="105"/>
    </row>
    <row r="627">
      <c r="B627" s="213"/>
      <c r="C627" s="214"/>
      <c r="E627" s="213"/>
      <c r="F627" s="214"/>
      <c r="G627" s="105"/>
    </row>
    <row r="628">
      <c r="B628" s="213"/>
      <c r="C628" s="214"/>
      <c r="E628" s="213"/>
      <c r="F628" s="214"/>
      <c r="G628" s="105"/>
    </row>
    <row r="629">
      <c r="B629" s="213"/>
      <c r="C629" s="214"/>
      <c r="E629" s="213"/>
      <c r="F629" s="214"/>
      <c r="G629" s="105"/>
    </row>
    <row r="630">
      <c r="B630" s="213"/>
      <c r="C630" s="214"/>
      <c r="E630" s="213"/>
      <c r="F630" s="214"/>
      <c r="G630" s="105"/>
    </row>
    <row r="631">
      <c r="B631" s="213"/>
      <c r="C631" s="214"/>
      <c r="E631" s="213"/>
      <c r="F631" s="214"/>
      <c r="G631" s="105"/>
    </row>
    <row r="632">
      <c r="B632" s="213"/>
      <c r="C632" s="214"/>
      <c r="E632" s="213"/>
      <c r="F632" s="214"/>
      <c r="G632" s="105"/>
    </row>
    <row r="633">
      <c r="B633" s="213"/>
      <c r="C633" s="214"/>
      <c r="E633" s="213"/>
      <c r="F633" s="214"/>
      <c r="G633" s="105"/>
    </row>
    <row r="634">
      <c r="B634" s="213"/>
      <c r="C634" s="214"/>
      <c r="E634" s="213"/>
      <c r="F634" s="214"/>
      <c r="G634" s="105"/>
    </row>
    <row r="635">
      <c r="B635" s="213"/>
      <c r="C635" s="214"/>
      <c r="E635" s="213"/>
      <c r="F635" s="214"/>
      <c r="G635" s="105"/>
    </row>
    <row r="636">
      <c r="B636" s="213"/>
      <c r="C636" s="214"/>
      <c r="E636" s="213"/>
      <c r="F636" s="214"/>
      <c r="G636" s="105"/>
    </row>
    <row r="637">
      <c r="B637" s="213"/>
      <c r="C637" s="214"/>
      <c r="E637" s="213"/>
      <c r="F637" s="214"/>
      <c r="G637" s="105"/>
    </row>
    <row r="638">
      <c r="B638" s="213"/>
      <c r="C638" s="214"/>
      <c r="E638" s="213"/>
      <c r="F638" s="214"/>
      <c r="G638" s="105"/>
    </row>
    <row r="639">
      <c r="B639" s="213"/>
      <c r="C639" s="214"/>
      <c r="E639" s="213"/>
      <c r="F639" s="214"/>
      <c r="G639" s="105"/>
    </row>
    <row r="640">
      <c r="B640" s="213"/>
      <c r="C640" s="214"/>
      <c r="E640" s="213"/>
      <c r="F640" s="214"/>
      <c r="G640" s="105"/>
    </row>
    <row r="641">
      <c r="B641" s="213"/>
      <c r="C641" s="214"/>
      <c r="E641" s="213"/>
      <c r="F641" s="214"/>
      <c r="G641" s="105"/>
    </row>
    <row r="642">
      <c r="B642" s="213"/>
      <c r="C642" s="214"/>
      <c r="E642" s="213"/>
      <c r="F642" s="214"/>
      <c r="G642" s="105"/>
    </row>
    <row r="643">
      <c r="B643" s="213"/>
      <c r="C643" s="214"/>
      <c r="E643" s="213"/>
      <c r="F643" s="214"/>
      <c r="G643" s="105"/>
    </row>
    <row r="644">
      <c r="B644" s="213"/>
      <c r="C644" s="214"/>
      <c r="E644" s="213"/>
      <c r="F644" s="214"/>
      <c r="G644" s="105"/>
    </row>
    <row r="645">
      <c r="B645" s="213"/>
      <c r="C645" s="214"/>
      <c r="E645" s="213"/>
      <c r="F645" s="214"/>
      <c r="G645" s="105"/>
    </row>
    <row r="646">
      <c r="B646" s="213"/>
      <c r="C646" s="214"/>
      <c r="E646" s="213"/>
      <c r="F646" s="214"/>
      <c r="G646" s="105"/>
    </row>
    <row r="647">
      <c r="B647" s="213"/>
      <c r="C647" s="214"/>
      <c r="E647" s="213"/>
      <c r="F647" s="214"/>
      <c r="G647" s="105"/>
    </row>
    <row r="648">
      <c r="B648" s="213"/>
      <c r="C648" s="214"/>
      <c r="E648" s="213"/>
      <c r="F648" s="214"/>
      <c r="G648" s="105"/>
    </row>
    <row r="649">
      <c r="B649" s="213"/>
      <c r="C649" s="214"/>
      <c r="E649" s="213"/>
      <c r="F649" s="214"/>
      <c r="G649" s="105"/>
    </row>
    <row r="650">
      <c r="B650" s="213"/>
      <c r="C650" s="214"/>
      <c r="E650" s="213"/>
      <c r="F650" s="214"/>
      <c r="G650" s="105"/>
    </row>
    <row r="651">
      <c r="B651" s="213"/>
      <c r="C651" s="214"/>
      <c r="E651" s="213"/>
      <c r="F651" s="214"/>
      <c r="G651" s="105"/>
    </row>
    <row r="652">
      <c r="B652" s="213"/>
      <c r="C652" s="214"/>
      <c r="E652" s="213"/>
      <c r="F652" s="214"/>
      <c r="G652" s="105"/>
    </row>
    <row r="653">
      <c r="B653" s="213"/>
      <c r="C653" s="214"/>
      <c r="E653" s="213"/>
      <c r="F653" s="214"/>
      <c r="G653" s="105"/>
    </row>
    <row r="654">
      <c r="B654" s="213"/>
      <c r="C654" s="214"/>
      <c r="E654" s="213"/>
      <c r="F654" s="214"/>
      <c r="G654" s="105"/>
    </row>
    <row r="655">
      <c r="B655" s="213"/>
      <c r="C655" s="214"/>
      <c r="E655" s="213"/>
      <c r="F655" s="214"/>
      <c r="G655" s="105"/>
    </row>
    <row r="656">
      <c r="B656" s="213"/>
      <c r="C656" s="214"/>
      <c r="E656" s="213"/>
      <c r="F656" s="214"/>
      <c r="G656" s="105"/>
    </row>
    <row r="657">
      <c r="B657" s="213"/>
      <c r="C657" s="214"/>
      <c r="E657" s="213"/>
      <c r="F657" s="214"/>
      <c r="G657" s="105"/>
    </row>
    <row r="658">
      <c r="B658" s="213"/>
      <c r="C658" s="214"/>
      <c r="E658" s="213"/>
      <c r="F658" s="214"/>
      <c r="G658" s="105"/>
    </row>
    <row r="659">
      <c r="B659" s="213"/>
      <c r="C659" s="214"/>
      <c r="E659" s="213"/>
      <c r="F659" s="214"/>
      <c r="G659" s="105"/>
    </row>
    <row r="660">
      <c r="B660" s="213"/>
      <c r="C660" s="214"/>
      <c r="E660" s="213"/>
      <c r="F660" s="214"/>
      <c r="G660" s="105"/>
    </row>
    <row r="661">
      <c r="B661" s="213"/>
      <c r="C661" s="214"/>
      <c r="E661" s="213"/>
      <c r="F661" s="214"/>
      <c r="G661" s="105"/>
    </row>
    <row r="662">
      <c r="B662" s="213"/>
      <c r="C662" s="214"/>
      <c r="E662" s="213"/>
      <c r="F662" s="214"/>
      <c r="G662" s="105"/>
    </row>
    <row r="663">
      <c r="B663" s="213"/>
      <c r="C663" s="214"/>
      <c r="E663" s="213"/>
      <c r="F663" s="214"/>
      <c r="G663" s="105"/>
    </row>
    <row r="664">
      <c r="B664" s="213"/>
      <c r="C664" s="214"/>
      <c r="E664" s="213"/>
      <c r="F664" s="214"/>
      <c r="G664" s="105"/>
    </row>
    <row r="665">
      <c r="B665" s="213"/>
      <c r="C665" s="214"/>
      <c r="E665" s="213"/>
      <c r="F665" s="214"/>
      <c r="G665" s="105"/>
    </row>
    <row r="666">
      <c r="B666" s="213"/>
      <c r="C666" s="214"/>
      <c r="E666" s="213"/>
      <c r="F666" s="214"/>
      <c r="G666" s="105"/>
    </row>
    <row r="667">
      <c r="B667" s="213"/>
      <c r="C667" s="214"/>
      <c r="E667" s="213"/>
      <c r="F667" s="214"/>
      <c r="G667" s="105"/>
    </row>
    <row r="668">
      <c r="B668" s="213"/>
      <c r="C668" s="214"/>
      <c r="E668" s="213"/>
      <c r="F668" s="214"/>
      <c r="G668" s="105"/>
    </row>
    <row r="669">
      <c r="B669" s="213"/>
      <c r="C669" s="214"/>
      <c r="E669" s="213"/>
      <c r="F669" s="214"/>
      <c r="G669" s="105"/>
    </row>
    <row r="670">
      <c r="B670" s="213"/>
      <c r="C670" s="214"/>
      <c r="E670" s="213"/>
      <c r="F670" s="214"/>
      <c r="G670" s="105"/>
    </row>
    <row r="671">
      <c r="B671" s="213"/>
      <c r="C671" s="214"/>
      <c r="E671" s="213"/>
      <c r="F671" s="214"/>
      <c r="G671" s="105"/>
    </row>
    <row r="672">
      <c r="B672" s="213"/>
      <c r="C672" s="214"/>
      <c r="E672" s="213"/>
      <c r="F672" s="214"/>
      <c r="G672" s="105"/>
    </row>
    <row r="673">
      <c r="B673" s="213"/>
      <c r="C673" s="214"/>
      <c r="E673" s="213"/>
      <c r="F673" s="214"/>
      <c r="G673" s="105"/>
    </row>
    <row r="674">
      <c r="B674" s="213"/>
      <c r="C674" s="214"/>
      <c r="E674" s="213"/>
      <c r="F674" s="214"/>
      <c r="G674" s="105"/>
    </row>
    <row r="675">
      <c r="B675" s="213"/>
      <c r="C675" s="214"/>
      <c r="E675" s="213"/>
      <c r="F675" s="214"/>
      <c r="G675" s="105"/>
    </row>
    <row r="676">
      <c r="B676" s="213"/>
      <c r="C676" s="214"/>
      <c r="E676" s="213"/>
      <c r="F676" s="214"/>
      <c r="G676" s="105"/>
    </row>
    <row r="677">
      <c r="B677" s="213"/>
      <c r="C677" s="214"/>
      <c r="E677" s="213"/>
      <c r="F677" s="214"/>
      <c r="G677" s="105"/>
    </row>
    <row r="678">
      <c r="B678" s="213"/>
      <c r="C678" s="214"/>
      <c r="E678" s="213"/>
      <c r="F678" s="214"/>
      <c r="G678" s="105"/>
    </row>
    <row r="679">
      <c r="B679" s="213"/>
      <c r="C679" s="214"/>
      <c r="E679" s="213"/>
      <c r="F679" s="214"/>
      <c r="G679" s="105"/>
    </row>
    <row r="680">
      <c r="B680" s="213"/>
      <c r="C680" s="214"/>
      <c r="E680" s="213"/>
      <c r="F680" s="214"/>
      <c r="G680" s="105"/>
    </row>
    <row r="681">
      <c r="B681" s="213"/>
      <c r="C681" s="214"/>
      <c r="E681" s="213"/>
      <c r="F681" s="214"/>
      <c r="G681" s="105"/>
    </row>
    <row r="682">
      <c r="B682" s="213"/>
      <c r="C682" s="214"/>
      <c r="E682" s="213"/>
      <c r="F682" s="214"/>
      <c r="G682" s="105"/>
    </row>
    <row r="683">
      <c r="B683" s="213"/>
      <c r="C683" s="214"/>
      <c r="E683" s="213"/>
      <c r="F683" s="214"/>
      <c r="G683" s="105"/>
    </row>
    <row r="684">
      <c r="B684" s="213"/>
      <c r="C684" s="214"/>
      <c r="E684" s="213"/>
      <c r="F684" s="214"/>
      <c r="G684" s="105"/>
    </row>
    <row r="685">
      <c r="B685" s="213"/>
      <c r="C685" s="214"/>
      <c r="E685" s="213"/>
      <c r="F685" s="214"/>
      <c r="G685" s="105"/>
    </row>
    <row r="686">
      <c r="B686" s="213"/>
      <c r="C686" s="214"/>
      <c r="E686" s="213"/>
      <c r="F686" s="214"/>
      <c r="G686" s="105"/>
    </row>
    <row r="687">
      <c r="B687" s="213"/>
      <c r="C687" s="214"/>
      <c r="E687" s="213"/>
      <c r="F687" s="214"/>
      <c r="G687" s="105"/>
    </row>
    <row r="688">
      <c r="B688" s="213"/>
      <c r="C688" s="214"/>
      <c r="E688" s="213"/>
      <c r="F688" s="214"/>
      <c r="G688" s="105"/>
    </row>
    <row r="689">
      <c r="B689" s="213"/>
      <c r="C689" s="214"/>
      <c r="E689" s="213"/>
      <c r="F689" s="214"/>
      <c r="G689" s="105"/>
    </row>
    <row r="690">
      <c r="B690" s="213"/>
      <c r="C690" s="214"/>
      <c r="E690" s="213"/>
      <c r="F690" s="214"/>
      <c r="G690" s="105"/>
    </row>
    <row r="691">
      <c r="B691" s="213"/>
      <c r="C691" s="214"/>
      <c r="E691" s="213"/>
      <c r="F691" s="214"/>
      <c r="G691" s="105"/>
    </row>
    <row r="692">
      <c r="B692" s="213"/>
      <c r="C692" s="214"/>
      <c r="E692" s="213"/>
      <c r="F692" s="214"/>
      <c r="G692" s="105"/>
    </row>
    <row r="693">
      <c r="B693" s="213"/>
      <c r="C693" s="214"/>
      <c r="E693" s="213"/>
      <c r="F693" s="214"/>
      <c r="G693" s="105"/>
    </row>
    <row r="694">
      <c r="B694" s="213"/>
      <c r="C694" s="214"/>
      <c r="E694" s="213"/>
      <c r="F694" s="214"/>
      <c r="G694" s="105"/>
    </row>
    <row r="695">
      <c r="B695" s="213"/>
      <c r="C695" s="214"/>
      <c r="E695" s="213"/>
      <c r="F695" s="214"/>
      <c r="G695" s="105"/>
    </row>
    <row r="696">
      <c r="B696" s="213"/>
      <c r="C696" s="214"/>
      <c r="E696" s="213"/>
      <c r="F696" s="214"/>
      <c r="G696" s="105"/>
    </row>
    <row r="697">
      <c r="B697" s="213"/>
      <c r="C697" s="214"/>
      <c r="E697" s="213"/>
      <c r="F697" s="214"/>
      <c r="G697" s="105"/>
    </row>
    <row r="698">
      <c r="B698" s="213"/>
      <c r="C698" s="214"/>
      <c r="E698" s="213"/>
      <c r="F698" s="214"/>
      <c r="G698" s="105"/>
    </row>
    <row r="699">
      <c r="B699" s="213"/>
      <c r="C699" s="214"/>
      <c r="E699" s="213"/>
      <c r="F699" s="214"/>
      <c r="G699" s="105"/>
    </row>
    <row r="700">
      <c r="B700" s="213"/>
      <c r="C700" s="214"/>
      <c r="E700" s="213"/>
      <c r="F700" s="214"/>
      <c r="G700" s="105"/>
    </row>
    <row r="701">
      <c r="B701" s="213"/>
      <c r="C701" s="214"/>
      <c r="E701" s="213"/>
      <c r="F701" s="214"/>
      <c r="G701" s="105"/>
    </row>
    <row r="702">
      <c r="B702" s="213"/>
      <c r="C702" s="214"/>
      <c r="E702" s="213"/>
      <c r="F702" s="214"/>
      <c r="G702" s="105"/>
    </row>
    <row r="703">
      <c r="B703" s="213"/>
      <c r="C703" s="214"/>
      <c r="E703" s="213"/>
      <c r="F703" s="214"/>
      <c r="G703" s="105"/>
    </row>
    <row r="704">
      <c r="B704" s="213"/>
      <c r="C704" s="214"/>
      <c r="E704" s="213"/>
      <c r="F704" s="214"/>
      <c r="G704" s="105"/>
    </row>
    <row r="705">
      <c r="B705" s="213"/>
      <c r="C705" s="214"/>
      <c r="E705" s="213"/>
      <c r="F705" s="214"/>
      <c r="G705" s="105"/>
    </row>
    <row r="706">
      <c r="B706" s="213"/>
      <c r="C706" s="214"/>
      <c r="E706" s="213"/>
      <c r="F706" s="214"/>
      <c r="G706" s="105"/>
    </row>
    <row r="707">
      <c r="B707" s="213"/>
      <c r="C707" s="214"/>
      <c r="E707" s="213"/>
      <c r="F707" s="214"/>
      <c r="G707" s="105"/>
    </row>
    <row r="708">
      <c r="B708" s="213"/>
      <c r="C708" s="214"/>
      <c r="E708" s="213"/>
      <c r="F708" s="214"/>
      <c r="G708" s="105"/>
    </row>
    <row r="709">
      <c r="B709" s="213"/>
      <c r="C709" s="214"/>
      <c r="E709" s="213"/>
      <c r="F709" s="214"/>
      <c r="G709" s="105"/>
    </row>
    <row r="710">
      <c r="B710" s="213"/>
      <c r="C710" s="214"/>
      <c r="E710" s="213"/>
      <c r="F710" s="214"/>
      <c r="G710" s="105"/>
    </row>
    <row r="711">
      <c r="B711" s="213"/>
      <c r="C711" s="214"/>
      <c r="E711" s="213"/>
      <c r="F711" s="214"/>
      <c r="G711" s="105"/>
    </row>
    <row r="712">
      <c r="B712" s="213"/>
      <c r="C712" s="214"/>
      <c r="E712" s="213"/>
      <c r="F712" s="214"/>
      <c r="G712" s="105"/>
    </row>
    <row r="713">
      <c r="B713" s="213"/>
      <c r="C713" s="214"/>
      <c r="E713" s="213"/>
      <c r="F713" s="214"/>
      <c r="G713" s="105"/>
    </row>
    <row r="714">
      <c r="B714" s="213"/>
      <c r="C714" s="214"/>
      <c r="E714" s="213"/>
      <c r="F714" s="214"/>
      <c r="G714" s="105"/>
    </row>
    <row r="715">
      <c r="B715" s="213"/>
      <c r="C715" s="214"/>
      <c r="E715" s="213"/>
      <c r="F715" s="214"/>
      <c r="G715" s="105"/>
    </row>
    <row r="716">
      <c r="B716" s="213"/>
      <c r="C716" s="214"/>
      <c r="E716" s="213"/>
      <c r="F716" s="214"/>
      <c r="G716" s="105"/>
    </row>
    <row r="717">
      <c r="B717" s="213"/>
      <c r="C717" s="214"/>
      <c r="E717" s="213"/>
      <c r="F717" s="214"/>
      <c r="G717" s="105"/>
    </row>
    <row r="718">
      <c r="B718" s="213"/>
      <c r="C718" s="214"/>
      <c r="E718" s="213"/>
      <c r="F718" s="214"/>
      <c r="G718" s="105"/>
    </row>
    <row r="719">
      <c r="B719" s="213"/>
      <c r="C719" s="214"/>
      <c r="E719" s="213"/>
      <c r="F719" s="214"/>
      <c r="G719" s="105"/>
    </row>
    <row r="720">
      <c r="B720" s="213"/>
      <c r="C720" s="214"/>
      <c r="E720" s="213"/>
      <c r="F720" s="214"/>
      <c r="G720" s="105"/>
    </row>
    <row r="721">
      <c r="B721" s="213"/>
      <c r="C721" s="214"/>
      <c r="E721" s="213"/>
      <c r="F721" s="214"/>
      <c r="G721" s="105"/>
    </row>
    <row r="722">
      <c r="B722" s="213"/>
      <c r="C722" s="214"/>
      <c r="E722" s="213"/>
      <c r="F722" s="214"/>
      <c r="G722" s="105"/>
    </row>
    <row r="723">
      <c r="B723" s="213"/>
      <c r="C723" s="214"/>
      <c r="E723" s="213"/>
      <c r="F723" s="214"/>
      <c r="G723" s="105"/>
    </row>
    <row r="724">
      <c r="B724" s="213"/>
      <c r="C724" s="214"/>
      <c r="E724" s="213"/>
      <c r="F724" s="214"/>
      <c r="G724" s="105"/>
    </row>
    <row r="725">
      <c r="B725" s="213"/>
      <c r="C725" s="214"/>
      <c r="E725" s="213"/>
      <c r="F725" s="214"/>
      <c r="G725" s="105"/>
    </row>
    <row r="726">
      <c r="B726" s="213"/>
      <c r="C726" s="214"/>
      <c r="E726" s="213"/>
      <c r="F726" s="214"/>
      <c r="G726" s="105"/>
    </row>
    <row r="727">
      <c r="B727" s="213"/>
      <c r="C727" s="214"/>
      <c r="E727" s="213"/>
      <c r="F727" s="214"/>
      <c r="G727" s="105"/>
    </row>
    <row r="728">
      <c r="B728" s="213"/>
      <c r="C728" s="214"/>
      <c r="E728" s="213"/>
      <c r="F728" s="214"/>
      <c r="G728" s="105"/>
    </row>
    <row r="729">
      <c r="B729" s="213"/>
      <c r="C729" s="214"/>
      <c r="E729" s="213"/>
      <c r="F729" s="214"/>
      <c r="G729" s="105"/>
    </row>
    <row r="730">
      <c r="B730" s="213"/>
      <c r="C730" s="214"/>
      <c r="E730" s="213"/>
      <c r="F730" s="214"/>
      <c r="G730" s="105"/>
    </row>
    <row r="731">
      <c r="B731" s="213"/>
      <c r="C731" s="214"/>
      <c r="E731" s="213"/>
      <c r="F731" s="214"/>
      <c r="G731" s="105"/>
    </row>
    <row r="732">
      <c r="B732" s="213"/>
      <c r="C732" s="214"/>
      <c r="E732" s="213"/>
      <c r="F732" s="214"/>
      <c r="G732" s="105"/>
    </row>
    <row r="733">
      <c r="B733" s="213"/>
      <c r="C733" s="214"/>
      <c r="E733" s="213"/>
      <c r="F733" s="214"/>
      <c r="G733" s="105"/>
    </row>
    <row r="734">
      <c r="B734" s="213"/>
      <c r="C734" s="214"/>
      <c r="E734" s="213"/>
      <c r="F734" s="214"/>
      <c r="G734" s="105"/>
    </row>
    <row r="735">
      <c r="B735" s="213"/>
      <c r="C735" s="214"/>
      <c r="E735" s="213"/>
      <c r="F735" s="214"/>
      <c r="G735" s="105"/>
    </row>
    <row r="736">
      <c r="B736" s="213"/>
      <c r="C736" s="214"/>
      <c r="E736" s="213"/>
      <c r="F736" s="214"/>
      <c r="G736" s="105"/>
    </row>
    <row r="737">
      <c r="B737" s="213"/>
      <c r="C737" s="214"/>
      <c r="E737" s="213"/>
      <c r="F737" s="214"/>
      <c r="G737" s="105"/>
    </row>
    <row r="738">
      <c r="B738" s="213"/>
      <c r="C738" s="214"/>
      <c r="E738" s="213"/>
      <c r="F738" s="214"/>
      <c r="G738" s="105"/>
    </row>
    <row r="739">
      <c r="B739" s="213"/>
      <c r="C739" s="214"/>
      <c r="E739" s="213"/>
      <c r="F739" s="214"/>
      <c r="G739" s="105"/>
    </row>
    <row r="740">
      <c r="B740" s="213"/>
      <c r="C740" s="214"/>
      <c r="E740" s="213"/>
      <c r="F740" s="214"/>
      <c r="G740" s="105"/>
    </row>
    <row r="741">
      <c r="B741" s="213"/>
      <c r="C741" s="214"/>
      <c r="E741" s="213"/>
      <c r="F741" s="214"/>
      <c r="G741" s="105"/>
    </row>
    <row r="742">
      <c r="B742" s="213"/>
      <c r="C742" s="214"/>
      <c r="E742" s="213"/>
      <c r="F742" s="214"/>
      <c r="G742" s="105"/>
    </row>
    <row r="743">
      <c r="B743" s="213"/>
      <c r="C743" s="214"/>
      <c r="E743" s="213"/>
      <c r="F743" s="214"/>
      <c r="G743" s="105"/>
    </row>
    <row r="744">
      <c r="B744" s="213"/>
      <c r="C744" s="214"/>
      <c r="E744" s="213"/>
      <c r="F744" s="214"/>
      <c r="G744" s="105"/>
    </row>
    <row r="745">
      <c r="B745" s="213"/>
      <c r="C745" s="214"/>
      <c r="E745" s="213"/>
      <c r="F745" s="214"/>
      <c r="G745" s="105"/>
    </row>
    <row r="746">
      <c r="B746" s="213"/>
      <c r="C746" s="214"/>
      <c r="E746" s="213"/>
      <c r="F746" s="214"/>
      <c r="G746" s="105"/>
    </row>
    <row r="747">
      <c r="B747" s="213"/>
      <c r="C747" s="214"/>
      <c r="E747" s="213"/>
      <c r="F747" s="214"/>
      <c r="G747" s="105"/>
    </row>
    <row r="748">
      <c r="B748" s="213"/>
      <c r="C748" s="214"/>
      <c r="E748" s="213"/>
      <c r="F748" s="214"/>
      <c r="G748" s="105"/>
    </row>
    <row r="749">
      <c r="B749" s="213"/>
      <c r="C749" s="214"/>
      <c r="E749" s="213"/>
      <c r="F749" s="214"/>
      <c r="G749" s="105"/>
    </row>
    <row r="750">
      <c r="B750" s="213"/>
      <c r="C750" s="214"/>
      <c r="E750" s="213"/>
      <c r="F750" s="214"/>
      <c r="G750" s="105"/>
    </row>
    <row r="751">
      <c r="B751" s="213"/>
      <c r="C751" s="214"/>
      <c r="E751" s="213"/>
      <c r="F751" s="214"/>
      <c r="G751" s="105"/>
    </row>
    <row r="752">
      <c r="B752" s="213"/>
      <c r="C752" s="214"/>
      <c r="E752" s="213"/>
      <c r="F752" s="214"/>
      <c r="G752" s="105"/>
    </row>
    <row r="753">
      <c r="B753" s="213"/>
      <c r="C753" s="214"/>
      <c r="E753" s="213"/>
      <c r="F753" s="214"/>
      <c r="G753" s="105"/>
    </row>
    <row r="754">
      <c r="B754" s="213"/>
      <c r="C754" s="214"/>
      <c r="E754" s="213"/>
      <c r="F754" s="214"/>
      <c r="G754" s="105"/>
    </row>
    <row r="755">
      <c r="B755" s="213"/>
      <c r="C755" s="214"/>
      <c r="E755" s="213"/>
      <c r="F755" s="214"/>
      <c r="G755" s="105"/>
    </row>
    <row r="756">
      <c r="B756" s="213"/>
      <c r="C756" s="214"/>
      <c r="E756" s="213"/>
      <c r="F756" s="214"/>
      <c r="G756" s="105"/>
    </row>
    <row r="757">
      <c r="B757" s="213"/>
      <c r="C757" s="214"/>
      <c r="E757" s="213"/>
      <c r="F757" s="214"/>
      <c r="G757" s="105"/>
    </row>
    <row r="758">
      <c r="B758" s="213"/>
      <c r="C758" s="214"/>
      <c r="E758" s="213"/>
      <c r="F758" s="214"/>
      <c r="G758" s="105"/>
    </row>
    <row r="759">
      <c r="B759" s="213"/>
      <c r="C759" s="214"/>
      <c r="E759" s="213"/>
      <c r="F759" s="214"/>
      <c r="G759" s="105"/>
    </row>
    <row r="760">
      <c r="B760" s="213"/>
      <c r="C760" s="214"/>
      <c r="E760" s="213"/>
      <c r="F760" s="214"/>
      <c r="G760" s="105"/>
    </row>
    <row r="761">
      <c r="B761" s="213"/>
      <c r="C761" s="214"/>
      <c r="E761" s="213"/>
      <c r="F761" s="214"/>
      <c r="G761" s="105"/>
    </row>
    <row r="762">
      <c r="B762" s="213"/>
      <c r="C762" s="214"/>
      <c r="E762" s="213"/>
      <c r="F762" s="214"/>
      <c r="G762" s="105"/>
    </row>
    <row r="763">
      <c r="B763" s="213"/>
      <c r="C763" s="214"/>
      <c r="E763" s="213"/>
      <c r="F763" s="214"/>
      <c r="G763" s="105"/>
    </row>
    <row r="764">
      <c r="B764" s="213"/>
      <c r="C764" s="214"/>
      <c r="E764" s="213"/>
      <c r="F764" s="214"/>
      <c r="G764" s="105"/>
    </row>
    <row r="765">
      <c r="B765" s="213"/>
      <c r="C765" s="214"/>
      <c r="E765" s="213"/>
      <c r="F765" s="214"/>
      <c r="G765" s="105"/>
    </row>
    <row r="766">
      <c r="B766" s="213"/>
      <c r="C766" s="214"/>
      <c r="E766" s="213"/>
      <c r="F766" s="214"/>
      <c r="G766" s="105"/>
    </row>
    <row r="767">
      <c r="B767" s="213"/>
      <c r="C767" s="214"/>
      <c r="E767" s="213"/>
      <c r="F767" s="214"/>
      <c r="G767" s="105"/>
    </row>
    <row r="768">
      <c r="B768" s="213"/>
      <c r="C768" s="214"/>
      <c r="E768" s="213"/>
      <c r="F768" s="214"/>
      <c r="G768" s="105"/>
    </row>
    <row r="769">
      <c r="B769" s="213"/>
      <c r="C769" s="214"/>
      <c r="E769" s="213"/>
      <c r="F769" s="214"/>
      <c r="G769" s="105"/>
    </row>
    <row r="770">
      <c r="B770" s="213"/>
      <c r="C770" s="214"/>
      <c r="E770" s="213"/>
      <c r="F770" s="214"/>
      <c r="G770" s="105"/>
    </row>
    <row r="771">
      <c r="B771" s="213"/>
      <c r="C771" s="214"/>
      <c r="E771" s="213"/>
      <c r="F771" s="214"/>
      <c r="G771" s="105"/>
    </row>
    <row r="772">
      <c r="B772" s="213"/>
      <c r="C772" s="214"/>
      <c r="E772" s="213"/>
      <c r="F772" s="214"/>
      <c r="G772" s="105"/>
    </row>
    <row r="773">
      <c r="B773" s="213"/>
      <c r="C773" s="214"/>
      <c r="E773" s="213"/>
      <c r="F773" s="214"/>
      <c r="G773" s="105"/>
    </row>
    <row r="774">
      <c r="B774" s="213"/>
      <c r="C774" s="214"/>
      <c r="E774" s="213"/>
      <c r="F774" s="214"/>
      <c r="G774" s="105"/>
    </row>
    <row r="775">
      <c r="B775" s="213"/>
      <c r="C775" s="214"/>
      <c r="E775" s="213"/>
      <c r="F775" s="214"/>
      <c r="G775" s="105"/>
    </row>
    <row r="776">
      <c r="B776" s="213"/>
      <c r="C776" s="214"/>
      <c r="E776" s="213"/>
      <c r="F776" s="214"/>
      <c r="G776" s="105"/>
    </row>
    <row r="777">
      <c r="B777" s="213"/>
      <c r="C777" s="214"/>
      <c r="E777" s="213"/>
      <c r="F777" s="214"/>
      <c r="G777" s="105"/>
    </row>
    <row r="778">
      <c r="B778" s="213"/>
      <c r="C778" s="214"/>
      <c r="E778" s="213"/>
      <c r="F778" s="214"/>
      <c r="G778" s="105"/>
    </row>
    <row r="779">
      <c r="B779" s="213"/>
      <c r="C779" s="214"/>
      <c r="E779" s="213"/>
      <c r="F779" s="214"/>
      <c r="G779" s="105"/>
    </row>
    <row r="780">
      <c r="B780" s="213"/>
      <c r="C780" s="214"/>
      <c r="E780" s="213"/>
      <c r="F780" s="214"/>
      <c r="G780" s="105"/>
    </row>
    <row r="781">
      <c r="B781" s="213"/>
      <c r="C781" s="214"/>
      <c r="E781" s="213"/>
      <c r="F781" s="214"/>
      <c r="G781" s="105"/>
    </row>
    <row r="782">
      <c r="B782" s="213"/>
      <c r="C782" s="214"/>
      <c r="E782" s="213"/>
      <c r="F782" s="214"/>
      <c r="G782" s="105"/>
    </row>
    <row r="783">
      <c r="B783" s="213"/>
      <c r="C783" s="214"/>
      <c r="E783" s="213"/>
      <c r="F783" s="214"/>
      <c r="G783" s="105"/>
    </row>
    <row r="784">
      <c r="B784" s="213"/>
      <c r="C784" s="214"/>
      <c r="E784" s="213"/>
      <c r="F784" s="214"/>
      <c r="G784" s="105"/>
    </row>
    <row r="785">
      <c r="B785" s="213"/>
      <c r="C785" s="214"/>
      <c r="E785" s="213"/>
      <c r="F785" s="214"/>
      <c r="G785" s="105"/>
    </row>
    <row r="786">
      <c r="B786" s="213"/>
      <c r="C786" s="214"/>
      <c r="E786" s="213"/>
      <c r="F786" s="214"/>
      <c r="G786" s="105"/>
    </row>
    <row r="787">
      <c r="B787" s="213"/>
      <c r="C787" s="214"/>
      <c r="E787" s="213"/>
      <c r="F787" s="214"/>
      <c r="G787" s="105"/>
    </row>
    <row r="788">
      <c r="B788" s="213"/>
      <c r="C788" s="214"/>
      <c r="E788" s="213"/>
      <c r="F788" s="214"/>
      <c r="G788" s="105"/>
    </row>
    <row r="789">
      <c r="B789" s="213"/>
      <c r="C789" s="214"/>
      <c r="E789" s="213"/>
      <c r="F789" s="214"/>
      <c r="G789" s="105"/>
    </row>
    <row r="790">
      <c r="B790" s="213"/>
      <c r="C790" s="214"/>
      <c r="E790" s="213"/>
      <c r="F790" s="214"/>
      <c r="G790" s="105"/>
    </row>
    <row r="791">
      <c r="B791" s="213"/>
      <c r="C791" s="214"/>
      <c r="E791" s="213"/>
      <c r="F791" s="214"/>
      <c r="G791" s="105"/>
    </row>
    <row r="792">
      <c r="B792" s="213"/>
      <c r="C792" s="214"/>
      <c r="E792" s="213"/>
      <c r="F792" s="214"/>
      <c r="G792" s="105"/>
    </row>
    <row r="793">
      <c r="B793" s="213"/>
      <c r="C793" s="214"/>
      <c r="E793" s="213"/>
      <c r="F793" s="214"/>
      <c r="G793" s="105"/>
    </row>
    <row r="794">
      <c r="B794" s="213"/>
      <c r="C794" s="214"/>
      <c r="E794" s="213"/>
      <c r="F794" s="214"/>
      <c r="G794" s="105"/>
    </row>
    <row r="795">
      <c r="B795" s="213"/>
      <c r="C795" s="214"/>
      <c r="E795" s="213"/>
      <c r="F795" s="214"/>
      <c r="G795" s="105"/>
    </row>
    <row r="796">
      <c r="B796" s="213"/>
      <c r="C796" s="214"/>
      <c r="E796" s="213"/>
      <c r="F796" s="214"/>
      <c r="G796" s="105"/>
    </row>
    <row r="797">
      <c r="B797" s="213"/>
      <c r="C797" s="214"/>
      <c r="E797" s="213"/>
      <c r="F797" s="214"/>
      <c r="G797" s="105"/>
    </row>
    <row r="798">
      <c r="B798" s="213"/>
      <c r="C798" s="214"/>
      <c r="E798" s="213"/>
      <c r="F798" s="214"/>
      <c r="G798" s="105"/>
    </row>
    <row r="799">
      <c r="B799" s="213"/>
      <c r="C799" s="214"/>
      <c r="E799" s="213"/>
      <c r="F799" s="214"/>
      <c r="G799" s="105"/>
    </row>
    <row r="800">
      <c r="B800" s="213"/>
      <c r="C800" s="214"/>
      <c r="E800" s="213"/>
      <c r="F800" s="214"/>
      <c r="G800" s="105"/>
    </row>
    <row r="801">
      <c r="B801" s="213"/>
      <c r="C801" s="214"/>
      <c r="E801" s="213"/>
      <c r="F801" s="214"/>
      <c r="G801" s="105"/>
    </row>
    <row r="802">
      <c r="B802" s="213"/>
      <c r="C802" s="214"/>
      <c r="E802" s="213"/>
      <c r="F802" s="214"/>
      <c r="G802" s="105"/>
    </row>
    <row r="803">
      <c r="B803" s="213"/>
      <c r="C803" s="214"/>
      <c r="E803" s="213"/>
      <c r="F803" s="214"/>
      <c r="G803" s="105"/>
    </row>
    <row r="804">
      <c r="B804" s="213"/>
      <c r="C804" s="214"/>
      <c r="E804" s="213"/>
      <c r="F804" s="214"/>
      <c r="G804" s="105"/>
    </row>
    <row r="805">
      <c r="B805" s="213"/>
      <c r="C805" s="214"/>
      <c r="E805" s="213"/>
      <c r="F805" s="214"/>
      <c r="G805" s="105"/>
    </row>
    <row r="806">
      <c r="B806" s="213"/>
      <c r="C806" s="214"/>
      <c r="E806" s="213"/>
      <c r="F806" s="214"/>
      <c r="G806" s="105"/>
    </row>
    <row r="807">
      <c r="B807" s="213"/>
      <c r="C807" s="214"/>
      <c r="E807" s="213"/>
      <c r="F807" s="214"/>
      <c r="G807" s="105"/>
    </row>
    <row r="808">
      <c r="B808" s="213"/>
      <c r="C808" s="214"/>
      <c r="E808" s="213"/>
      <c r="F808" s="214"/>
      <c r="G808" s="105"/>
    </row>
    <row r="809">
      <c r="B809" s="213"/>
      <c r="C809" s="214"/>
      <c r="E809" s="213"/>
      <c r="F809" s="214"/>
      <c r="G809" s="105"/>
    </row>
    <row r="810">
      <c r="B810" s="213"/>
      <c r="C810" s="214"/>
      <c r="E810" s="213"/>
      <c r="F810" s="214"/>
      <c r="G810" s="105"/>
    </row>
    <row r="811">
      <c r="B811" s="213"/>
      <c r="C811" s="214"/>
      <c r="E811" s="213"/>
      <c r="F811" s="214"/>
      <c r="G811" s="105"/>
    </row>
    <row r="812">
      <c r="B812" s="213"/>
      <c r="C812" s="214"/>
      <c r="E812" s="213"/>
      <c r="F812" s="214"/>
      <c r="G812" s="105"/>
    </row>
    <row r="813">
      <c r="B813" s="213"/>
      <c r="C813" s="214"/>
      <c r="E813" s="213"/>
      <c r="F813" s="214"/>
      <c r="G813" s="105"/>
    </row>
    <row r="814">
      <c r="B814" s="213"/>
      <c r="C814" s="214"/>
      <c r="E814" s="213"/>
      <c r="F814" s="214"/>
      <c r="G814" s="105"/>
    </row>
    <row r="815">
      <c r="B815" s="213"/>
      <c r="C815" s="214"/>
      <c r="E815" s="213"/>
      <c r="F815" s="214"/>
      <c r="G815" s="105"/>
    </row>
    <row r="816">
      <c r="B816" s="213"/>
      <c r="C816" s="214"/>
      <c r="E816" s="213"/>
      <c r="F816" s="214"/>
      <c r="G816" s="105"/>
    </row>
    <row r="817">
      <c r="B817" s="213"/>
      <c r="C817" s="214"/>
      <c r="E817" s="213"/>
      <c r="F817" s="214"/>
      <c r="G817" s="105"/>
    </row>
    <row r="818">
      <c r="B818" s="213"/>
      <c r="C818" s="214"/>
      <c r="E818" s="213"/>
      <c r="F818" s="214"/>
      <c r="G818" s="105"/>
    </row>
    <row r="819">
      <c r="B819" s="213"/>
      <c r="C819" s="214"/>
      <c r="E819" s="213"/>
      <c r="F819" s="214"/>
      <c r="G819" s="105"/>
    </row>
    <row r="820">
      <c r="B820" s="213"/>
      <c r="C820" s="214"/>
      <c r="E820" s="213"/>
      <c r="F820" s="214"/>
      <c r="G820" s="105"/>
    </row>
    <row r="821">
      <c r="B821" s="213"/>
      <c r="C821" s="214"/>
      <c r="E821" s="213"/>
      <c r="F821" s="214"/>
      <c r="G821" s="105"/>
    </row>
    <row r="822">
      <c r="B822" s="213"/>
      <c r="C822" s="214"/>
      <c r="E822" s="213"/>
      <c r="F822" s="214"/>
      <c r="G822" s="105"/>
    </row>
    <row r="823">
      <c r="B823" s="213"/>
      <c r="C823" s="214"/>
      <c r="E823" s="213"/>
      <c r="F823" s="214"/>
      <c r="G823" s="105"/>
    </row>
    <row r="824">
      <c r="B824" s="213"/>
      <c r="C824" s="214"/>
      <c r="E824" s="213"/>
      <c r="F824" s="214"/>
      <c r="G824" s="105"/>
    </row>
    <row r="825">
      <c r="B825" s="213"/>
      <c r="C825" s="214"/>
      <c r="E825" s="213"/>
      <c r="F825" s="214"/>
      <c r="G825" s="105"/>
    </row>
    <row r="826">
      <c r="B826" s="213"/>
      <c r="C826" s="214"/>
      <c r="E826" s="213"/>
      <c r="F826" s="214"/>
      <c r="G826" s="105"/>
    </row>
    <row r="827">
      <c r="B827" s="213"/>
      <c r="C827" s="214"/>
      <c r="E827" s="213"/>
      <c r="F827" s="214"/>
      <c r="G827" s="105"/>
    </row>
    <row r="828">
      <c r="B828" s="213"/>
      <c r="C828" s="214"/>
      <c r="E828" s="213"/>
      <c r="F828" s="214"/>
      <c r="G828" s="105"/>
    </row>
    <row r="829">
      <c r="B829" s="213"/>
      <c r="C829" s="214"/>
      <c r="E829" s="213"/>
      <c r="F829" s="214"/>
      <c r="G829" s="105"/>
    </row>
    <row r="830">
      <c r="B830" s="213"/>
      <c r="C830" s="214"/>
      <c r="E830" s="213"/>
      <c r="F830" s="214"/>
      <c r="G830" s="105"/>
    </row>
    <row r="831">
      <c r="B831" s="213"/>
      <c r="C831" s="214"/>
      <c r="E831" s="213"/>
      <c r="F831" s="214"/>
      <c r="G831" s="105"/>
    </row>
    <row r="832">
      <c r="B832" s="213"/>
      <c r="C832" s="214"/>
      <c r="E832" s="213"/>
      <c r="F832" s="214"/>
      <c r="G832" s="105"/>
    </row>
    <row r="833">
      <c r="B833" s="213"/>
      <c r="C833" s="214"/>
      <c r="E833" s="213"/>
      <c r="F833" s="214"/>
      <c r="G833" s="105"/>
    </row>
    <row r="834">
      <c r="B834" s="213"/>
      <c r="C834" s="214"/>
      <c r="E834" s="213"/>
      <c r="F834" s="214"/>
      <c r="G834" s="105"/>
    </row>
    <row r="835">
      <c r="B835" s="213"/>
      <c r="C835" s="214"/>
      <c r="E835" s="213"/>
      <c r="F835" s="214"/>
      <c r="G835" s="105"/>
    </row>
    <row r="836">
      <c r="B836" s="213"/>
      <c r="C836" s="214"/>
      <c r="E836" s="213"/>
      <c r="F836" s="214"/>
      <c r="G836" s="105"/>
    </row>
    <row r="837">
      <c r="B837" s="213"/>
      <c r="C837" s="214"/>
      <c r="E837" s="213"/>
      <c r="F837" s="214"/>
      <c r="G837" s="105"/>
    </row>
    <row r="838">
      <c r="B838" s="213"/>
      <c r="C838" s="214"/>
      <c r="E838" s="213"/>
      <c r="F838" s="214"/>
      <c r="G838" s="105"/>
    </row>
    <row r="839">
      <c r="B839" s="213"/>
      <c r="C839" s="214"/>
      <c r="E839" s="213"/>
      <c r="F839" s="214"/>
      <c r="G839" s="105"/>
    </row>
    <row r="840">
      <c r="B840" s="213"/>
      <c r="C840" s="214"/>
      <c r="E840" s="213"/>
      <c r="F840" s="214"/>
      <c r="G840" s="105"/>
    </row>
    <row r="841">
      <c r="B841" s="213"/>
      <c r="C841" s="214"/>
      <c r="E841" s="213"/>
      <c r="F841" s="214"/>
      <c r="G841" s="105"/>
    </row>
    <row r="842">
      <c r="B842" s="213"/>
      <c r="C842" s="214"/>
      <c r="E842" s="213"/>
      <c r="F842" s="214"/>
      <c r="G842" s="105"/>
    </row>
    <row r="843">
      <c r="B843" s="213"/>
      <c r="C843" s="214"/>
      <c r="E843" s="213"/>
      <c r="F843" s="214"/>
      <c r="G843" s="105"/>
    </row>
    <row r="844">
      <c r="B844" s="213"/>
      <c r="C844" s="214"/>
      <c r="E844" s="213"/>
      <c r="F844" s="214"/>
      <c r="G844" s="105"/>
    </row>
    <row r="845">
      <c r="B845" s="213"/>
      <c r="C845" s="214"/>
      <c r="E845" s="213"/>
      <c r="F845" s="214"/>
      <c r="G845" s="105"/>
    </row>
    <row r="846">
      <c r="B846" s="213"/>
      <c r="C846" s="214"/>
      <c r="E846" s="213"/>
      <c r="F846" s="214"/>
      <c r="G846" s="105"/>
    </row>
    <row r="847">
      <c r="B847" s="213"/>
      <c r="C847" s="214"/>
      <c r="E847" s="213"/>
      <c r="F847" s="214"/>
      <c r="G847" s="105"/>
    </row>
    <row r="848">
      <c r="B848" s="213"/>
      <c r="C848" s="214"/>
      <c r="E848" s="213"/>
      <c r="F848" s="214"/>
      <c r="G848" s="105"/>
    </row>
    <row r="849">
      <c r="B849" s="213"/>
      <c r="C849" s="214"/>
      <c r="E849" s="213"/>
      <c r="F849" s="214"/>
      <c r="G849" s="105"/>
    </row>
    <row r="850">
      <c r="B850" s="213"/>
      <c r="C850" s="214"/>
      <c r="E850" s="213"/>
      <c r="F850" s="214"/>
      <c r="G850" s="105"/>
    </row>
    <row r="851">
      <c r="B851" s="213"/>
      <c r="C851" s="214"/>
      <c r="E851" s="213"/>
      <c r="F851" s="214"/>
      <c r="G851" s="105"/>
    </row>
    <row r="852">
      <c r="B852" s="213"/>
      <c r="C852" s="214"/>
      <c r="E852" s="213"/>
      <c r="F852" s="214"/>
      <c r="G852" s="105"/>
    </row>
    <row r="853">
      <c r="B853" s="213"/>
      <c r="C853" s="214"/>
      <c r="E853" s="213"/>
      <c r="F853" s="214"/>
      <c r="G853" s="105"/>
    </row>
    <row r="854">
      <c r="B854" s="213"/>
      <c r="C854" s="214"/>
      <c r="E854" s="213"/>
      <c r="F854" s="214"/>
      <c r="G854" s="105"/>
    </row>
    <row r="855">
      <c r="B855" s="213"/>
      <c r="C855" s="214"/>
      <c r="E855" s="213"/>
      <c r="F855" s="214"/>
      <c r="G855" s="105"/>
    </row>
    <row r="856">
      <c r="B856" s="213"/>
      <c r="C856" s="214"/>
      <c r="E856" s="213"/>
      <c r="F856" s="214"/>
      <c r="G856" s="105"/>
    </row>
    <row r="857">
      <c r="B857" s="213"/>
      <c r="C857" s="214"/>
      <c r="E857" s="213"/>
      <c r="F857" s="214"/>
      <c r="G857" s="105"/>
    </row>
    <row r="858">
      <c r="B858" s="213"/>
      <c r="C858" s="214"/>
      <c r="E858" s="213"/>
      <c r="F858" s="214"/>
      <c r="G858" s="105"/>
    </row>
    <row r="859">
      <c r="B859" s="213"/>
      <c r="C859" s="214"/>
      <c r="E859" s="213"/>
      <c r="F859" s="214"/>
      <c r="G859" s="105"/>
    </row>
    <row r="860">
      <c r="B860" s="213"/>
      <c r="C860" s="214"/>
      <c r="E860" s="213"/>
      <c r="F860" s="214"/>
      <c r="G860" s="105"/>
    </row>
    <row r="861">
      <c r="B861" s="213"/>
      <c r="C861" s="214"/>
      <c r="E861" s="213"/>
      <c r="F861" s="214"/>
      <c r="G861" s="105"/>
    </row>
    <row r="862">
      <c r="B862" s="213"/>
      <c r="C862" s="214"/>
      <c r="E862" s="213"/>
      <c r="F862" s="214"/>
      <c r="G862" s="105"/>
    </row>
    <row r="863">
      <c r="B863" s="213"/>
      <c r="C863" s="214"/>
      <c r="E863" s="213"/>
      <c r="F863" s="214"/>
      <c r="G863" s="105"/>
    </row>
    <row r="864">
      <c r="B864" s="213"/>
      <c r="C864" s="214"/>
      <c r="E864" s="213"/>
      <c r="F864" s="214"/>
      <c r="G864" s="105"/>
    </row>
    <row r="865">
      <c r="B865" s="213"/>
      <c r="C865" s="214"/>
      <c r="E865" s="213"/>
      <c r="F865" s="214"/>
      <c r="G865" s="105"/>
    </row>
    <row r="866">
      <c r="B866" s="213"/>
      <c r="C866" s="214"/>
      <c r="E866" s="213"/>
      <c r="F866" s="214"/>
      <c r="G866" s="105"/>
    </row>
    <row r="867">
      <c r="B867" s="213"/>
      <c r="C867" s="214"/>
      <c r="E867" s="213"/>
      <c r="F867" s="214"/>
      <c r="G867" s="105"/>
    </row>
    <row r="868">
      <c r="B868" s="213"/>
      <c r="C868" s="214"/>
      <c r="E868" s="213"/>
      <c r="F868" s="214"/>
      <c r="G868" s="105"/>
    </row>
    <row r="869">
      <c r="B869" s="213"/>
      <c r="C869" s="214"/>
      <c r="E869" s="213"/>
      <c r="F869" s="214"/>
      <c r="G869" s="105"/>
    </row>
    <row r="870">
      <c r="B870" s="213"/>
      <c r="C870" s="214"/>
      <c r="E870" s="213"/>
      <c r="F870" s="214"/>
      <c r="G870" s="105"/>
    </row>
    <row r="871">
      <c r="B871" s="213"/>
      <c r="C871" s="214"/>
      <c r="E871" s="213"/>
      <c r="F871" s="214"/>
      <c r="G871" s="105"/>
    </row>
    <row r="872">
      <c r="B872" s="213"/>
      <c r="C872" s="214"/>
      <c r="E872" s="213"/>
      <c r="F872" s="214"/>
      <c r="G872" s="105"/>
    </row>
    <row r="873">
      <c r="B873" s="213"/>
      <c r="C873" s="214"/>
      <c r="E873" s="213"/>
      <c r="F873" s="214"/>
      <c r="G873" s="105"/>
    </row>
    <row r="874">
      <c r="B874" s="213"/>
      <c r="C874" s="214"/>
      <c r="E874" s="213"/>
      <c r="F874" s="214"/>
      <c r="G874" s="105"/>
    </row>
    <row r="875">
      <c r="B875" s="213"/>
      <c r="C875" s="214"/>
      <c r="E875" s="213"/>
      <c r="F875" s="214"/>
      <c r="G875" s="105"/>
    </row>
    <row r="876">
      <c r="B876" s="213"/>
      <c r="C876" s="214"/>
      <c r="E876" s="213"/>
      <c r="F876" s="214"/>
      <c r="G876" s="105"/>
    </row>
    <row r="877">
      <c r="B877" s="213"/>
      <c r="C877" s="214"/>
      <c r="E877" s="213"/>
      <c r="F877" s="214"/>
      <c r="G877" s="105"/>
    </row>
    <row r="878">
      <c r="B878" s="213"/>
      <c r="C878" s="214"/>
      <c r="E878" s="213"/>
      <c r="F878" s="214"/>
      <c r="G878" s="105"/>
    </row>
    <row r="879">
      <c r="B879" s="213"/>
      <c r="C879" s="214"/>
      <c r="E879" s="213"/>
      <c r="F879" s="214"/>
      <c r="G879" s="105"/>
    </row>
    <row r="880">
      <c r="B880" s="213"/>
      <c r="C880" s="214"/>
      <c r="E880" s="213"/>
      <c r="F880" s="214"/>
      <c r="G880" s="105"/>
    </row>
    <row r="881">
      <c r="B881" s="213"/>
      <c r="C881" s="214"/>
      <c r="E881" s="213"/>
      <c r="F881" s="214"/>
      <c r="G881" s="105"/>
    </row>
    <row r="882">
      <c r="B882" s="213"/>
      <c r="C882" s="214"/>
      <c r="E882" s="213"/>
      <c r="F882" s="214"/>
      <c r="G882" s="105"/>
    </row>
    <row r="883">
      <c r="B883" s="213"/>
      <c r="C883" s="214"/>
      <c r="E883" s="213"/>
      <c r="F883" s="214"/>
      <c r="G883" s="105"/>
    </row>
    <row r="884">
      <c r="B884" s="213"/>
      <c r="C884" s="214"/>
      <c r="E884" s="213"/>
      <c r="F884" s="214"/>
      <c r="G884" s="105"/>
    </row>
    <row r="885">
      <c r="B885" s="213"/>
      <c r="C885" s="214"/>
      <c r="E885" s="213"/>
      <c r="F885" s="214"/>
      <c r="G885" s="105"/>
    </row>
    <row r="886">
      <c r="B886" s="213"/>
      <c r="C886" s="214"/>
      <c r="E886" s="213"/>
      <c r="F886" s="214"/>
      <c r="G886" s="105"/>
    </row>
    <row r="887">
      <c r="B887" s="213"/>
      <c r="C887" s="214"/>
      <c r="E887" s="213"/>
      <c r="F887" s="214"/>
      <c r="G887" s="105"/>
    </row>
    <row r="888">
      <c r="B888" s="213"/>
      <c r="C888" s="214"/>
      <c r="E888" s="213"/>
      <c r="F888" s="214"/>
      <c r="G888" s="105"/>
    </row>
    <row r="889">
      <c r="B889" s="213"/>
      <c r="C889" s="214"/>
      <c r="E889" s="213"/>
      <c r="F889" s="214"/>
      <c r="G889" s="105"/>
    </row>
    <row r="890">
      <c r="B890" s="213"/>
      <c r="C890" s="214"/>
      <c r="E890" s="213"/>
      <c r="F890" s="214"/>
      <c r="G890" s="105"/>
    </row>
    <row r="891">
      <c r="B891" s="213"/>
      <c r="C891" s="214"/>
      <c r="E891" s="213"/>
      <c r="F891" s="214"/>
      <c r="G891" s="105"/>
    </row>
    <row r="892">
      <c r="B892" s="213"/>
      <c r="C892" s="214"/>
      <c r="E892" s="213"/>
      <c r="F892" s="214"/>
      <c r="G892" s="105"/>
    </row>
    <row r="893">
      <c r="B893" s="213"/>
      <c r="C893" s="214"/>
      <c r="E893" s="213"/>
      <c r="F893" s="214"/>
      <c r="G893" s="105"/>
    </row>
    <row r="894">
      <c r="B894" s="213"/>
      <c r="C894" s="214"/>
      <c r="E894" s="213"/>
      <c r="F894" s="214"/>
      <c r="G894" s="105"/>
    </row>
    <row r="895">
      <c r="B895" s="213"/>
      <c r="C895" s="214"/>
      <c r="E895" s="213"/>
      <c r="F895" s="214"/>
      <c r="G895" s="105"/>
    </row>
    <row r="896">
      <c r="B896" s="213"/>
      <c r="C896" s="214"/>
      <c r="E896" s="213"/>
      <c r="F896" s="214"/>
      <c r="G896" s="105"/>
    </row>
    <row r="897">
      <c r="B897" s="213"/>
      <c r="C897" s="214"/>
      <c r="E897" s="213"/>
      <c r="F897" s="214"/>
      <c r="G897" s="105"/>
    </row>
    <row r="898">
      <c r="B898" s="213"/>
      <c r="C898" s="214"/>
      <c r="E898" s="213"/>
      <c r="F898" s="214"/>
      <c r="G898" s="105"/>
    </row>
    <row r="899">
      <c r="B899" s="213"/>
      <c r="C899" s="214"/>
      <c r="E899" s="213"/>
      <c r="F899" s="214"/>
      <c r="G899" s="105"/>
    </row>
    <row r="900">
      <c r="B900" s="213"/>
      <c r="C900" s="214"/>
      <c r="E900" s="213"/>
      <c r="F900" s="214"/>
      <c r="G900" s="105"/>
    </row>
    <row r="901">
      <c r="B901" s="213"/>
      <c r="C901" s="214"/>
      <c r="E901" s="213"/>
      <c r="F901" s="214"/>
      <c r="G901" s="105"/>
    </row>
    <row r="902">
      <c r="B902" s="213"/>
      <c r="C902" s="214"/>
      <c r="E902" s="213"/>
      <c r="F902" s="214"/>
      <c r="G902" s="105"/>
    </row>
    <row r="903">
      <c r="B903" s="213"/>
      <c r="C903" s="214"/>
      <c r="E903" s="213"/>
      <c r="F903" s="214"/>
      <c r="G903" s="105"/>
    </row>
    <row r="904">
      <c r="B904" s="213"/>
      <c r="C904" s="214"/>
      <c r="E904" s="213"/>
      <c r="F904" s="214"/>
      <c r="G904" s="105"/>
    </row>
    <row r="905">
      <c r="B905" s="213"/>
      <c r="C905" s="214"/>
      <c r="E905" s="213"/>
      <c r="F905" s="214"/>
      <c r="G905" s="105"/>
    </row>
    <row r="906">
      <c r="B906" s="213"/>
      <c r="C906" s="214"/>
      <c r="E906" s="213"/>
      <c r="F906" s="214"/>
      <c r="G906" s="105"/>
    </row>
    <row r="907">
      <c r="B907" s="213"/>
      <c r="C907" s="214"/>
      <c r="E907" s="213"/>
      <c r="F907" s="214"/>
      <c r="G907" s="105"/>
    </row>
    <row r="908">
      <c r="B908" s="213"/>
      <c r="C908" s="214"/>
      <c r="E908" s="213"/>
      <c r="F908" s="214"/>
      <c r="G908" s="105"/>
    </row>
    <row r="909">
      <c r="B909" s="213"/>
      <c r="C909" s="214"/>
      <c r="E909" s="213"/>
      <c r="F909" s="214"/>
      <c r="G909" s="105"/>
    </row>
    <row r="910">
      <c r="B910" s="213"/>
      <c r="C910" s="214"/>
      <c r="E910" s="213"/>
      <c r="F910" s="214"/>
      <c r="G910" s="105"/>
    </row>
    <row r="911">
      <c r="B911" s="213"/>
      <c r="C911" s="214"/>
      <c r="E911" s="213"/>
      <c r="F911" s="214"/>
      <c r="G911" s="105"/>
    </row>
    <row r="912">
      <c r="B912" s="213"/>
      <c r="C912" s="214"/>
      <c r="E912" s="213"/>
      <c r="F912" s="214"/>
      <c r="G912" s="105"/>
    </row>
    <row r="913">
      <c r="B913" s="213"/>
      <c r="C913" s="214"/>
      <c r="E913" s="213"/>
      <c r="F913" s="214"/>
      <c r="G913" s="105"/>
    </row>
    <row r="914">
      <c r="B914" s="213"/>
      <c r="C914" s="214"/>
      <c r="E914" s="213"/>
      <c r="F914" s="214"/>
      <c r="G914" s="105"/>
    </row>
    <row r="915">
      <c r="B915" s="213"/>
      <c r="C915" s="214"/>
      <c r="E915" s="213"/>
      <c r="F915" s="214"/>
      <c r="G915" s="105"/>
    </row>
    <row r="916">
      <c r="B916" s="213"/>
      <c r="C916" s="214"/>
      <c r="E916" s="213"/>
      <c r="F916" s="214"/>
      <c r="G916" s="105"/>
    </row>
    <row r="917">
      <c r="B917" s="213"/>
      <c r="C917" s="214"/>
      <c r="E917" s="213"/>
      <c r="F917" s="214"/>
      <c r="G917" s="105"/>
    </row>
    <row r="918">
      <c r="B918" s="213"/>
      <c r="C918" s="214"/>
      <c r="E918" s="213"/>
      <c r="F918" s="214"/>
      <c r="G918" s="105"/>
    </row>
    <row r="919">
      <c r="B919" s="213"/>
      <c r="C919" s="214"/>
      <c r="E919" s="213"/>
      <c r="F919" s="214"/>
      <c r="G919" s="105"/>
    </row>
    <row r="920">
      <c r="B920" s="213"/>
      <c r="C920" s="214"/>
      <c r="E920" s="213"/>
      <c r="F920" s="214"/>
      <c r="G920" s="105"/>
    </row>
    <row r="921">
      <c r="B921" s="213"/>
      <c r="C921" s="214"/>
      <c r="E921" s="213"/>
      <c r="F921" s="214"/>
      <c r="G921" s="105"/>
    </row>
    <row r="922">
      <c r="B922" s="213"/>
      <c r="C922" s="214"/>
      <c r="E922" s="213"/>
      <c r="F922" s="214"/>
      <c r="G922" s="105"/>
    </row>
    <row r="923">
      <c r="B923" s="213"/>
      <c r="C923" s="214"/>
      <c r="E923" s="213"/>
      <c r="F923" s="214"/>
      <c r="G923" s="105"/>
    </row>
    <row r="924">
      <c r="B924" s="213"/>
      <c r="C924" s="214"/>
      <c r="E924" s="213"/>
      <c r="F924" s="214"/>
      <c r="G924" s="105"/>
    </row>
    <row r="925">
      <c r="B925" s="213"/>
      <c r="C925" s="214"/>
      <c r="E925" s="213"/>
      <c r="F925" s="214"/>
      <c r="G925" s="105"/>
    </row>
    <row r="926">
      <c r="B926" s="213"/>
      <c r="C926" s="214"/>
      <c r="E926" s="213"/>
      <c r="F926" s="214"/>
      <c r="G926" s="105"/>
    </row>
    <row r="927">
      <c r="B927" s="213"/>
      <c r="C927" s="214"/>
      <c r="E927" s="213"/>
      <c r="F927" s="214"/>
      <c r="G927" s="105"/>
    </row>
    <row r="928">
      <c r="B928" s="213"/>
      <c r="C928" s="214"/>
      <c r="E928" s="213"/>
      <c r="F928" s="214"/>
      <c r="G928" s="105"/>
    </row>
    <row r="929">
      <c r="B929" s="213"/>
      <c r="C929" s="214"/>
      <c r="E929" s="213"/>
      <c r="F929" s="214"/>
      <c r="G929" s="105"/>
    </row>
    <row r="930">
      <c r="B930" s="213"/>
      <c r="C930" s="214"/>
      <c r="E930" s="213"/>
      <c r="F930" s="214"/>
      <c r="G930" s="105"/>
    </row>
    <row r="931">
      <c r="B931" s="213"/>
      <c r="C931" s="214"/>
      <c r="E931" s="213"/>
      <c r="F931" s="214"/>
      <c r="G931" s="105"/>
    </row>
    <row r="932">
      <c r="B932" s="213"/>
      <c r="C932" s="214"/>
      <c r="E932" s="213"/>
      <c r="F932" s="214"/>
      <c r="G932" s="105"/>
    </row>
    <row r="933">
      <c r="B933" s="213"/>
      <c r="C933" s="214"/>
      <c r="E933" s="213"/>
      <c r="F933" s="214"/>
      <c r="G933" s="105"/>
    </row>
    <row r="934">
      <c r="B934" s="213"/>
      <c r="C934" s="214"/>
      <c r="E934" s="213"/>
      <c r="F934" s="214"/>
      <c r="G934" s="105"/>
    </row>
    <row r="935">
      <c r="B935" s="213"/>
      <c r="C935" s="214"/>
      <c r="E935" s="213"/>
      <c r="F935" s="214"/>
      <c r="G935" s="105"/>
    </row>
    <row r="936">
      <c r="B936" s="213"/>
      <c r="C936" s="214"/>
      <c r="E936" s="213"/>
      <c r="F936" s="214"/>
      <c r="G936" s="105"/>
    </row>
    <row r="937">
      <c r="B937" s="213"/>
      <c r="C937" s="214"/>
      <c r="E937" s="213"/>
      <c r="F937" s="214"/>
      <c r="G937" s="105"/>
    </row>
    <row r="938">
      <c r="B938" s="213"/>
      <c r="C938" s="214"/>
      <c r="E938" s="213"/>
      <c r="F938" s="214"/>
      <c r="G938" s="105"/>
    </row>
    <row r="939">
      <c r="B939" s="213"/>
      <c r="C939" s="214"/>
      <c r="E939" s="213"/>
      <c r="F939" s="214"/>
      <c r="G939" s="105"/>
    </row>
    <row r="940">
      <c r="B940" s="213"/>
      <c r="C940" s="214"/>
      <c r="E940" s="213"/>
      <c r="F940" s="214"/>
      <c r="G940" s="105"/>
    </row>
    <row r="941">
      <c r="B941" s="213"/>
      <c r="C941" s="214"/>
      <c r="E941" s="213"/>
      <c r="F941" s="214"/>
      <c r="G941" s="105"/>
    </row>
    <row r="942">
      <c r="B942" s="213"/>
      <c r="C942" s="214"/>
      <c r="E942" s="213"/>
      <c r="F942" s="214"/>
      <c r="G942" s="105"/>
    </row>
    <row r="943">
      <c r="B943" s="213"/>
      <c r="C943" s="214"/>
      <c r="E943" s="213"/>
      <c r="F943" s="214"/>
      <c r="G943" s="105"/>
    </row>
    <row r="944">
      <c r="B944" s="213"/>
      <c r="C944" s="214"/>
      <c r="E944" s="213"/>
      <c r="F944" s="214"/>
      <c r="G944" s="105"/>
    </row>
    <row r="945">
      <c r="B945" s="213"/>
      <c r="C945" s="214"/>
      <c r="E945" s="213"/>
      <c r="F945" s="214"/>
      <c r="G945" s="105"/>
    </row>
    <row r="946">
      <c r="B946" s="213"/>
      <c r="C946" s="214"/>
      <c r="E946" s="213"/>
      <c r="F946" s="214"/>
      <c r="G946" s="105"/>
    </row>
    <row r="947">
      <c r="B947" s="213"/>
      <c r="C947" s="214"/>
      <c r="E947" s="213"/>
      <c r="F947" s="214"/>
      <c r="G947" s="105"/>
    </row>
    <row r="948">
      <c r="B948" s="213"/>
      <c r="C948" s="214"/>
      <c r="E948" s="213"/>
      <c r="F948" s="214"/>
      <c r="G948" s="105"/>
    </row>
    <row r="949">
      <c r="B949" s="213"/>
      <c r="C949" s="214"/>
      <c r="E949" s="213"/>
      <c r="F949" s="214"/>
      <c r="G949" s="105"/>
    </row>
    <row r="950">
      <c r="B950" s="213"/>
      <c r="C950" s="214"/>
      <c r="E950" s="213"/>
      <c r="F950" s="214"/>
      <c r="G950" s="105"/>
    </row>
    <row r="951">
      <c r="B951" s="213"/>
      <c r="C951" s="214"/>
      <c r="E951" s="213"/>
      <c r="F951" s="214"/>
      <c r="G951" s="105"/>
    </row>
    <row r="952">
      <c r="B952" s="213"/>
      <c r="C952" s="214"/>
      <c r="E952" s="213"/>
      <c r="F952" s="214"/>
      <c r="G952" s="105"/>
    </row>
    <row r="953">
      <c r="B953" s="213"/>
      <c r="C953" s="214"/>
      <c r="E953" s="213"/>
      <c r="F953" s="214"/>
      <c r="G953" s="105"/>
    </row>
    <row r="954">
      <c r="B954" s="213"/>
      <c r="C954" s="214"/>
      <c r="E954" s="213"/>
      <c r="F954" s="214"/>
      <c r="G954" s="105"/>
    </row>
    <row r="955">
      <c r="B955" s="213"/>
      <c r="C955" s="214"/>
      <c r="E955" s="213"/>
      <c r="F955" s="214"/>
      <c r="G955" s="105"/>
    </row>
    <row r="956">
      <c r="B956" s="213"/>
      <c r="C956" s="214"/>
      <c r="E956" s="213"/>
      <c r="F956" s="214"/>
      <c r="G956" s="105"/>
    </row>
    <row r="957">
      <c r="B957" s="213"/>
      <c r="C957" s="214"/>
      <c r="E957" s="213"/>
      <c r="F957" s="214"/>
      <c r="G957" s="105"/>
    </row>
    <row r="958">
      <c r="B958" s="213"/>
      <c r="C958" s="214"/>
      <c r="E958" s="213"/>
      <c r="F958" s="214"/>
      <c r="G958" s="105"/>
    </row>
    <row r="959">
      <c r="B959" s="213"/>
      <c r="C959" s="214"/>
      <c r="E959" s="213"/>
      <c r="F959" s="214"/>
      <c r="G959" s="105"/>
    </row>
    <row r="960">
      <c r="B960" s="213"/>
      <c r="C960" s="214"/>
      <c r="E960" s="213"/>
      <c r="F960" s="214"/>
      <c r="G960" s="105"/>
    </row>
    <row r="961">
      <c r="B961" s="213"/>
      <c r="C961" s="214"/>
      <c r="E961" s="213"/>
      <c r="F961" s="214"/>
      <c r="G961" s="105"/>
    </row>
    <row r="962">
      <c r="B962" s="213"/>
      <c r="C962" s="214"/>
      <c r="E962" s="213"/>
      <c r="F962" s="214"/>
      <c r="G962" s="105"/>
    </row>
    <row r="963">
      <c r="B963" s="213"/>
      <c r="C963" s="214"/>
      <c r="E963" s="213"/>
      <c r="F963" s="214"/>
      <c r="G963" s="105"/>
    </row>
    <row r="964">
      <c r="B964" s="213"/>
      <c r="C964" s="214"/>
      <c r="E964" s="213"/>
      <c r="F964" s="214"/>
      <c r="G964" s="105"/>
    </row>
    <row r="965">
      <c r="B965" s="213"/>
      <c r="C965" s="214"/>
      <c r="E965" s="213"/>
      <c r="F965" s="214"/>
      <c r="G965" s="105"/>
    </row>
    <row r="966">
      <c r="B966" s="213"/>
      <c r="C966" s="214"/>
      <c r="E966" s="213"/>
      <c r="F966" s="214"/>
      <c r="G966" s="105"/>
    </row>
    <row r="967">
      <c r="B967" s="213"/>
      <c r="C967" s="214"/>
      <c r="E967" s="213"/>
      <c r="F967" s="214"/>
      <c r="G967" s="105"/>
    </row>
    <row r="968">
      <c r="B968" s="213"/>
      <c r="C968" s="214"/>
      <c r="E968" s="213"/>
      <c r="F968" s="214"/>
      <c r="G968" s="105"/>
    </row>
    <row r="969">
      <c r="B969" s="213"/>
      <c r="C969" s="214"/>
      <c r="E969" s="213"/>
      <c r="F969" s="214"/>
      <c r="G969" s="105"/>
    </row>
    <row r="970">
      <c r="B970" s="213"/>
      <c r="C970" s="214"/>
      <c r="E970" s="213"/>
      <c r="F970" s="214"/>
      <c r="G970" s="105"/>
    </row>
    <row r="971">
      <c r="B971" s="213"/>
      <c r="C971" s="214"/>
      <c r="E971" s="213"/>
      <c r="F971" s="214"/>
      <c r="G971" s="105"/>
    </row>
    <row r="972">
      <c r="B972" s="213"/>
      <c r="C972" s="214"/>
      <c r="E972" s="213"/>
      <c r="F972" s="214"/>
      <c r="G972" s="105"/>
    </row>
    <row r="973">
      <c r="B973" s="213"/>
      <c r="C973" s="214"/>
      <c r="E973" s="213"/>
      <c r="F973" s="214"/>
      <c r="G973" s="105"/>
    </row>
    <row r="974">
      <c r="B974" s="213"/>
      <c r="C974" s="214"/>
      <c r="E974" s="213"/>
      <c r="F974" s="214"/>
      <c r="G974" s="105"/>
    </row>
    <row r="975">
      <c r="B975" s="213"/>
      <c r="C975" s="214"/>
      <c r="E975" s="213"/>
      <c r="F975" s="214"/>
      <c r="G975" s="105"/>
    </row>
    <row r="976">
      <c r="B976" s="213"/>
      <c r="C976" s="214"/>
      <c r="E976" s="213"/>
      <c r="F976" s="214"/>
      <c r="G976" s="105"/>
    </row>
    <row r="977">
      <c r="B977" s="213"/>
      <c r="C977" s="214"/>
      <c r="E977" s="213"/>
      <c r="F977" s="214"/>
      <c r="G977" s="105"/>
    </row>
    <row r="978">
      <c r="B978" s="213"/>
      <c r="C978" s="214"/>
      <c r="E978" s="213"/>
      <c r="F978" s="214"/>
      <c r="G978" s="105"/>
    </row>
    <row r="979">
      <c r="B979" s="213"/>
      <c r="C979" s="214"/>
      <c r="E979" s="213"/>
      <c r="F979" s="214"/>
      <c r="G979" s="105"/>
    </row>
    <row r="980">
      <c r="B980" s="213"/>
      <c r="C980" s="214"/>
      <c r="E980" s="213"/>
      <c r="F980" s="214"/>
      <c r="G980" s="105"/>
    </row>
    <row r="981">
      <c r="B981" s="213"/>
      <c r="C981" s="214"/>
      <c r="E981" s="213"/>
      <c r="F981" s="214"/>
      <c r="G981" s="105"/>
    </row>
    <row r="982">
      <c r="B982" s="213"/>
      <c r="C982" s="214"/>
      <c r="E982" s="213"/>
      <c r="F982" s="214"/>
      <c r="G982" s="105"/>
    </row>
    <row r="983">
      <c r="B983" s="213"/>
      <c r="C983" s="214"/>
      <c r="E983" s="213"/>
      <c r="F983" s="214"/>
      <c r="G983" s="105"/>
    </row>
    <row r="984">
      <c r="B984" s="213"/>
      <c r="C984" s="214"/>
      <c r="E984" s="213"/>
      <c r="F984" s="214"/>
      <c r="G984" s="105"/>
    </row>
    <row r="985">
      <c r="B985" s="213"/>
      <c r="C985" s="214"/>
      <c r="E985" s="213"/>
      <c r="F985" s="214"/>
      <c r="G985" s="105"/>
    </row>
    <row r="986">
      <c r="B986" s="213"/>
      <c r="C986" s="214"/>
      <c r="E986" s="213"/>
      <c r="F986" s="214"/>
      <c r="G986" s="105"/>
    </row>
    <row r="987">
      <c r="B987" s="213"/>
      <c r="C987" s="214"/>
      <c r="E987" s="213"/>
      <c r="F987" s="214"/>
      <c r="G987" s="105"/>
    </row>
    <row r="988">
      <c r="B988" s="213"/>
      <c r="C988" s="214"/>
      <c r="E988" s="213"/>
      <c r="F988" s="214"/>
      <c r="G988" s="105"/>
    </row>
    <row r="989">
      <c r="B989" s="213"/>
      <c r="C989" s="214"/>
      <c r="E989" s="213"/>
      <c r="F989" s="214"/>
      <c r="G989" s="105"/>
    </row>
    <row r="990">
      <c r="B990" s="213"/>
      <c r="C990" s="214"/>
      <c r="E990" s="213"/>
      <c r="F990" s="214"/>
      <c r="G990" s="105"/>
    </row>
    <row r="991">
      <c r="B991" s="213"/>
      <c r="C991" s="214"/>
      <c r="E991" s="213"/>
      <c r="F991" s="214"/>
      <c r="G991" s="105"/>
    </row>
    <row r="992">
      <c r="B992" s="213"/>
      <c r="C992" s="214"/>
      <c r="E992" s="213"/>
      <c r="F992" s="214"/>
      <c r="G992" s="105"/>
    </row>
    <row r="993">
      <c r="B993" s="213"/>
      <c r="C993" s="214"/>
      <c r="E993" s="213"/>
      <c r="F993" s="214"/>
      <c r="G993" s="105"/>
    </row>
    <row r="994">
      <c r="B994" s="213"/>
      <c r="C994" s="214"/>
      <c r="E994" s="213"/>
      <c r="F994" s="214"/>
      <c r="G994" s="105"/>
    </row>
    <row r="995">
      <c r="B995" s="213"/>
      <c r="C995" s="214"/>
      <c r="E995" s="213"/>
      <c r="F995" s="214"/>
      <c r="G995" s="105"/>
    </row>
    <row r="996">
      <c r="B996" s="213"/>
      <c r="C996" s="214"/>
      <c r="E996" s="213"/>
      <c r="F996" s="214"/>
      <c r="G996" s="105"/>
    </row>
    <row r="997">
      <c r="B997" s="213"/>
      <c r="C997" s="214"/>
      <c r="E997" s="213"/>
      <c r="F997" s="214"/>
      <c r="G997" s="105"/>
    </row>
    <row r="998">
      <c r="B998" s="213"/>
      <c r="C998" s="214"/>
      <c r="E998" s="213"/>
      <c r="F998" s="214"/>
      <c r="G998" s="105"/>
    </row>
    <row r="999">
      <c r="B999" s="213"/>
      <c r="C999" s="214"/>
      <c r="E999" s="213"/>
      <c r="F999" s="214"/>
      <c r="G999" s="105"/>
    </row>
    <row r="1000">
      <c r="B1000" s="213"/>
      <c r="C1000" s="214"/>
      <c r="E1000" s="213"/>
      <c r="F1000" s="214"/>
      <c r="G1000" s="105"/>
    </row>
    <row r="1001">
      <c r="B1001" s="213"/>
      <c r="C1001" s="214"/>
      <c r="E1001" s="213"/>
      <c r="F1001" s="214"/>
      <c r="G1001" s="105"/>
    </row>
    <row r="1002">
      <c r="B1002" s="213"/>
      <c r="C1002" s="214"/>
      <c r="E1002" s="213"/>
      <c r="F1002" s="214"/>
      <c r="G1002" s="105"/>
    </row>
    <row r="1003">
      <c r="B1003" s="213"/>
      <c r="C1003" s="214"/>
      <c r="E1003" s="213"/>
      <c r="F1003" s="214"/>
      <c r="G1003" s="105"/>
    </row>
    <row r="1004">
      <c r="B1004" s="213"/>
      <c r="C1004" s="214"/>
      <c r="E1004" s="213"/>
      <c r="F1004" s="214"/>
      <c r="G1004" s="105"/>
    </row>
    <row r="1005">
      <c r="B1005" s="213"/>
      <c r="C1005" s="214"/>
      <c r="E1005" s="213"/>
      <c r="F1005" s="214"/>
      <c r="G1005" s="105"/>
    </row>
    <row r="1006">
      <c r="B1006" s="213"/>
      <c r="C1006" s="214"/>
      <c r="E1006" s="213"/>
      <c r="F1006" s="214"/>
      <c r="G1006" s="105"/>
    </row>
    <row r="1007">
      <c r="B1007" s="213"/>
      <c r="C1007" s="214"/>
      <c r="E1007" s="213"/>
      <c r="F1007" s="214"/>
      <c r="G1007" s="105"/>
    </row>
    <row r="1008">
      <c r="B1008" s="213"/>
      <c r="C1008" s="214"/>
      <c r="E1008" s="213"/>
      <c r="F1008" s="214"/>
      <c r="G1008" s="105"/>
    </row>
    <row r="1009">
      <c r="B1009" s="213"/>
      <c r="C1009" s="214"/>
      <c r="E1009" s="213"/>
      <c r="F1009" s="214"/>
      <c r="G1009" s="105"/>
    </row>
    <row r="1010">
      <c r="B1010" s="213"/>
      <c r="C1010" s="214"/>
      <c r="E1010" s="213"/>
      <c r="F1010" s="214"/>
      <c r="G1010" s="105"/>
    </row>
    <row r="1011">
      <c r="B1011" s="213"/>
      <c r="C1011" s="214"/>
      <c r="E1011" s="213"/>
      <c r="F1011" s="214"/>
      <c r="G1011" s="105"/>
    </row>
    <row r="1012">
      <c r="B1012" s="213"/>
      <c r="C1012" s="214"/>
      <c r="E1012" s="213"/>
      <c r="F1012" s="214"/>
      <c r="G1012" s="105"/>
    </row>
    <row r="1013">
      <c r="B1013" s="213"/>
      <c r="C1013" s="214"/>
      <c r="E1013" s="213"/>
      <c r="F1013" s="214"/>
      <c r="G1013" s="105"/>
    </row>
    <row r="1014">
      <c r="B1014" s="213"/>
      <c r="C1014" s="214"/>
      <c r="E1014" s="213"/>
      <c r="F1014" s="214"/>
      <c r="G1014" s="105"/>
    </row>
    <row r="1015">
      <c r="B1015" s="213"/>
      <c r="C1015" s="214"/>
      <c r="E1015" s="213"/>
      <c r="F1015" s="214"/>
      <c r="G1015" s="105"/>
    </row>
    <row r="1016">
      <c r="B1016" s="213"/>
      <c r="C1016" s="214"/>
      <c r="E1016" s="213"/>
      <c r="F1016" s="214"/>
      <c r="G1016" s="105"/>
    </row>
    <row r="1017">
      <c r="B1017" s="213"/>
      <c r="C1017" s="214"/>
      <c r="E1017" s="213"/>
      <c r="F1017" s="214"/>
      <c r="G1017" s="105"/>
    </row>
    <row r="1018">
      <c r="B1018" s="213"/>
      <c r="C1018" s="214"/>
      <c r="E1018" s="213"/>
      <c r="F1018" s="214"/>
      <c r="G1018" s="105"/>
    </row>
    <row r="1019">
      <c r="B1019" s="213"/>
      <c r="C1019" s="214"/>
      <c r="E1019" s="213"/>
      <c r="F1019" s="214"/>
      <c r="G1019" s="105"/>
    </row>
    <row r="1020">
      <c r="B1020" s="213"/>
      <c r="C1020" s="214"/>
      <c r="E1020" s="213"/>
      <c r="F1020" s="214"/>
      <c r="G1020" s="105"/>
    </row>
    <row r="1021">
      <c r="B1021" s="213"/>
      <c r="C1021" s="214"/>
      <c r="E1021" s="213"/>
      <c r="F1021" s="214"/>
      <c r="G1021" s="105"/>
    </row>
    <row r="1022">
      <c r="B1022" s="213"/>
      <c r="C1022" s="214"/>
      <c r="E1022" s="213"/>
      <c r="F1022" s="214"/>
      <c r="G1022" s="105"/>
    </row>
    <row r="1023">
      <c r="B1023" s="213"/>
      <c r="C1023" s="214"/>
      <c r="E1023" s="213"/>
      <c r="F1023" s="214"/>
      <c r="G1023" s="105"/>
    </row>
    <row r="1024">
      <c r="B1024" s="213"/>
      <c r="C1024" s="214"/>
      <c r="E1024" s="213"/>
      <c r="F1024" s="214"/>
      <c r="G1024" s="105"/>
    </row>
    <row r="1025">
      <c r="B1025" s="213"/>
      <c r="C1025" s="214"/>
      <c r="E1025" s="213"/>
      <c r="F1025" s="214"/>
      <c r="G1025" s="105"/>
    </row>
    <row r="1026">
      <c r="B1026" s="213"/>
      <c r="C1026" s="214"/>
      <c r="E1026" s="213"/>
      <c r="F1026" s="214"/>
      <c r="G1026" s="105"/>
    </row>
    <row r="1027">
      <c r="B1027" s="213"/>
      <c r="C1027" s="214"/>
      <c r="E1027" s="213"/>
      <c r="F1027" s="214"/>
      <c r="G1027" s="105"/>
    </row>
    <row r="1028">
      <c r="B1028" s="213"/>
      <c r="C1028" s="214"/>
      <c r="E1028" s="213"/>
      <c r="F1028" s="214"/>
      <c r="G1028" s="105"/>
    </row>
    <row r="1029">
      <c r="B1029" s="213"/>
      <c r="C1029" s="214"/>
      <c r="E1029" s="213"/>
      <c r="F1029" s="214"/>
      <c r="G1029" s="105"/>
    </row>
    <row r="1030">
      <c r="B1030" s="213"/>
      <c r="C1030" s="214"/>
      <c r="E1030" s="213"/>
      <c r="F1030" s="214"/>
      <c r="G1030" s="105"/>
    </row>
    <row r="1031">
      <c r="B1031" s="213"/>
      <c r="C1031" s="214"/>
      <c r="E1031" s="213"/>
      <c r="F1031" s="214"/>
      <c r="G1031" s="105"/>
    </row>
    <row r="1032">
      <c r="B1032" s="213"/>
      <c r="C1032" s="214"/>
      <c r="E1032" s="213"/>
      <c r="F1032" s="214"/>
      <c r="G1032" s="105"/>
    </row>
    <row r="1033">
      <c r="B1033" s="213"/>
      <c r="C1033" s="214"/>
      <c r="E1033" s="213"/>
      <c r="F1033" s="214"/>
      <c r="G1033" s="105"/>
    </row>
    <row r="1034">
      <c r="B1034" s="213"/>
      <c r="C1034" s="214"/>
      <c r="E1034" s="213"/>
      <c r="F1034" s="214"/>
      <c r="G1034" s="105"/>
    </row>
    <row r="1035">
      <c r="B1035" s="213"/>
      <c r="C1035" s="214"/>
      <c r="E1035" s="213"/>
      <c r="F1035" s="214"/>
      <c r="G1035" s="105"/>
    </row>
    <row r="1036">
      <c r="B1036" s="213"/>
      <c r="C1036" s="214"/>
      <c r="E1036" s="213"/>
      <c r="F1036" s="214"/>
      <c r="G1036" s="105"/>
    </row>
    <row r="1037">
      <c r="B1037" s="213"/>
      <c r="C1037" s="214"/>
      <c r="E1037" s="213"/>
      <c r="F1037" s="214"/>
      <c r="G1037" s="105"/>
    </row>
    <row r="1038">
      <c r="B1038" s="213"/>
      <c r="C1038" s="214"/>
      <c r="E1038" s="213"/>
      <c r="F1038" s="214"/>
      <c r="G1038" s="105"/>
    </row>
    <row r="1039">
      <c r="B1039" s="213"/>
      <c r="C1039" s="214"/>
      <c r="E1039" s="213"/>
      <c r="F1039" s="214"/>
      <c r="G1039" s="105"/>
    </row>
    <row r="1040">
      <c r="B1040" s="213"/>
      <c r="C1040" s="214"/>
      <c r="E1040" s="213"/>
      <c r="F1040" s="214"/>
      <c r="G1040" s="105"/>
    </row>
    <row r="1041">
      <c r="B1041" s="213"/>
      <c r="C1041" s="214"/>
      <c r="E1041" s="213"/>
      <c r="F1041" s="214"/>
      <c r="G1041" s="105"/>
    </row>
    <row r="1042">
      <c r="B1042" s="213"/>
      <c r="C1042" s="214"/>
      <c r="E1042" s="213"/>
      <c r="F1042" s="214"/>
      <c r="G1042" s="105"/>
    </row>
    <row r="1043">
      <c r="B1043" s="213"/>
      <c r="C1043" s="214"/>
      <c r="E1043" s="213"/>
      <c r="F1043" s="214"/>
      <c r="G1043" s="105"/>
    </row>
    <row r="1044">
      <c r="B1044" s="213"/>
      <c r="C1044" s="214"/>
      <c r="E1044" s="213"/>
      <c r="F1044" s="214"/>
      <c r="G1044" s="105"/>
    </row>
    <row r="1045">
      <c r="B1045" s="213"/>
      <c r="C1045" s="214"/>
      <c r="E1045" s="213"/>
      <c r="F1045" s="214"/>
      <c r="G1045" s="105"/>
    </row>
    <row r="1046">
      <c r="B1046" s="213"/>
      <c r="C1046" s="214"/>
      <c r="E1046" s="213"/>
      <c r="F1046" s="214"/>
      <c r="G1046" s="105"/>
    </row>
    <row r="1047">
      <c r="B1047" s="213"/>
      <c r="C1047" s="214"/>
      <c r="E1047" s="213"/>
      <c r="F1047" s="214"/>
      <c r="G1047" s="105"/>
    </row>
    <row r="1048">
      <c r="B1048" s="213"/>
      <c r="C1048" s="214"/>
      <c r="E1048" s="213"/>
      <c r="F1048" s="214"/>
      <c r="G1048" s="105"/>
    </row>
    <row r="1049">
      <c r="B1049" s="213"/>
      <c r="C1049" s="214"/>
      <c r="E1049" s="213"/>
      <c r="F1049" s="214"/>
      <c r="G1049" s="105"/>
    </row>
    <row r="1050">
      <c r="B1050" s="213"/>
      <c r="C1050" s="214"/>
      <c r="E1050" s="213"/>
      <c r="F1050" s="214"/>
      <c r="G1050" s="105"/>
    </row>
    <row r="1051">
      <c r="B1051" s="213"/>
      <c r="C1051" s="214"/>
      <c r="E1051" s="213"/>
      <c r="F1051" s="214"/>
      <c r="G1051" s="105"/>
    </row>
    <row r="1052">
      <c r="B1052" s="213"/>
      <c r="C1052" s="214"/>
      <c r="E1052" s="213"/>
      <c r="F1052" s="214"/>
      <c r="G1052" s="105"/>
    </row>
    <row r="1053">
      <c r="B1053" s="213"/>
      <c r="C1053" s="214"/>
      <c r="E1053" s="213"/>
      <c r="F1053" s="214"/>
      <c r="G1053" s="105"/>
    </row>
    <row r="1054">
      <c r="B1054" s="213"/>
      <c r="C1054" s="214"/>
      <c r="E1054" s="213"/>
      <c r="F1054" s="214"/>
      <c r="G1054" s="105"/>
    </row>
    <row r="1055">
      <c r="B1055" s="213"/>
      <c r="C1055" s="214"/>
      <c r="E1055" s="213"/>
      <c r="F1055" s="214"/>
      <c r="G1055" s="105"/>
    </row>
    <row r="1056">
      <c r="B1056" s="213"/>
      <c r="C1056" s="214"/>
      <c r="E1056" s="213"/>
      <c r="F1056" s="214"/>
      <c r="G1056" s="105"/>
    </row>
    <row r="1057">
      <c r="B1057" s="213"/>
      <c r="C1057" s="214"/>
      <c r="E1057" s="213"/>
      <c r="F1057" s="214"/>
      <c r="G1057" s="105"/>
    </row>
    <row r="1058">
      <c r="B1058" s="213"/>
      <c r="C1058" s="214"/>
      <c r="E1058" s="213"/>
      <c r="F1058" s="214"/>
      <c r="G1058" s="105"/>
    </row>
    <row r="1059">
      <c r="B1059" s="213"/>
      <c r="C1059" s="214"/>
      <c r="E1059" s="213"/>
      <c r="F1059" s="214"/>
      <c r="G1059" s="105"/>
    </row>
    <row r="1060">
      <c r="B1060" s="213"/>
      <c r="C1060" s="214"/>
      <c r="E1060" s="213"/>
      <c r="F1060" s="214"/>
      <c r="G1060" s="105"/>
    </row>
    <row r="1061">
      <c r="B1061" s="213"/>
      <c r="C1061" s="214"/>
      <c r="E1061" s="213"/>
      <c r="F1061" s="214"/>
      <c r="G1061" s="105"/>
    </row>
    <row r="1062">
      <c r="B1062" s="213"/>
      <c r="C1062" s="214"/>
      <c r="E1062" s="213"/>
      <c r="F1062" s="214"/>
      <c r="G1062" s="105"/>
    </row>
    <row r="1063">
      <c r="B1063" s="213"/>
      <c r="C1063" s="214"/>
      <c r="E1063" s="213"/>
      <c r="F1063" s="214"/>
      <c r="G1063" s="105"/>
    </row>
    <row r="1064">
      <c r="B1064" s="213"/>
      <c r="C1064" s="214"/>
      <c r="E1064" s="213"/>
      <c r="F1064" s="214"/>
      <c r="G1064" s="105"/>
    </row>
    <row r="1065">
      <c r="B1065" s="213"/>
      <c r="C1065" s="214"/>
      <c r="E1065" s="213"/>
      <c r="F1065" s="214"/>
      <c r="G1065" s="105"/>
    </row>
    <row r="1066">
      <c r="B1066" s="213"/>
      <c r="C1066" s="214"/>
      <c r="E1066" s="213"/>
      <c r="F1066" s="214"/>
      <c r="G1066" s="105"/>
    </row>
    <row r="1067">
      <c r="B1067" s="213"/>
      <c r="C1067" s="214"/>
      <c r="E1067" s="213"/>
      <c r="F1067" s="214"/>
      <c r="G1067" s="105"/>
    </row>
    <row r="1068">
      <c r="B1068" s="213"/>
      <c r="C1068" s="214"/>
      <c r="E1068" s="213"/>
      <c r="F1068" s="214"/>
      <c r="G1068" s="105"/>
    </row>
    <row r="1069">
      <c r="B1069" s="213"/>
      <c r="C1069" s="214"/>
      <c r="E1069" s="213"/>
      <c r="F1069" s="214"/>
      <c r="G1069" s="105"/>
    </row>
    <row r="1070">
      <c r="B1070" s="213"/>
      <c r="C1070" s="214"/>
      <c r="E1070" s="213"/>
      <c r="F1070" s="214"/>
      <c r="G1070" s="105"/>
    </row>
    <row r="1071">
      <c r="B1071" s="213"/>
      <c r="C1071" s="214"/>
      <c r="E1071" s="213"/>
      <c r="F1071" s="214"/>
      <c r="G1071" s="105"/>
    </row>
    <row r="1072">
      <c r="B1072" s="213"/>
      <c r="C1072" s="214"/>
      <c r="E1072" s="213"/>
      <c r="F1072" s="214"/>
      <c r="G1072" s="105"/>
    </row>
    <row r="1073">
      <c r="B1073" s="213"/>
      <c r="C1073" s="214"/>
      <c r="E1073" s="213"/>
      <c r="F1073" s="214"/>
      <c r="G1073" s="105"/>
    </row>
    <row r="1074">
      <c r="B1074" s="213"/>
      <c r="C1074" s="214"/>
      <c r="E1074" s="213"/>
      <c r="F1074" s="214"/>
      <c r="G1074" s="105"/>
    </row>
    <row r="1075">
      <c r="B1075" s="213"/>
      <c r="C1075" s="214"/>
      <c r="E1075" s="213"/>
      <c r="F1075" s="214"/>
      <c r="G1075" s="105"/>
    </row>
    <row r="1076">
      <c r="B1076" s="213"/>
      <c r="C1076" s="214"/>
      <c r="E1076" s="213"/>
      <c r="F1076" s="214"/>
      <c r="G1076" s="105"/>
    </row>
    <row r="1077">
      <c r="B1077" s="213"/>
      <c r="C1077" s="214"/>
      <c r="E1077" s="213"/>
      <c r="F1077" s="214"/>
      <c r="G1077" s="105"/>
    </row>
    <row r="1078">
      <c r="B1078" s="213"/>
      <c r="C1078" s="214"/>
      <c r="E1078" s="213"/>
      <c r="F1078" s="214"/>
      <c r="G1078" s="105"/>
    </row>
    <row r="1079">
      <c r="B1079" s="213"/>
      <c r="C1079" s="214"/>
      <c r="E1079" s="213"/>
      <c r="F1079" s="214"/>
      <c r="G1079" s="105"/>
    </row>
    <row r="1080">
      <c r="B1080" s="213"/>
      <c r="C1080" s="214"/>
      <c r="E1080" s="213"/>
      <c r="F1080" s="214"/>
      <c r="G1080" s="105"/>
    </row>
    <row r="1081">
      <c r="B1081" s="213"/>
      <c r="C1081" s="214"/>
      <c r="E1081" s="213"/>
      <c r="F1081" s="214"/>
      <c r="G1081" s="105"/>
    </row>
    <row r="1082">
      <c r="B1082" s="213"/>
      <c r="C1082" s="214"/>
      <c r="E1082" s="213"/>
      <c r="F1082" s="214"/>
      <c r="G1082" s="105"/>
    </row>
    <row r="1083">
      <c r="B1083" s="213"/>
      <c r="C1083" s="214"/>
      <c r="E1083" s="213"/>
      <c r="F1083" s="214"/>
      <c r="G1083" s="105"/>
    </row>
    <row r="1084">
      <c r="B1084" s="213"/>
      <c r="C1084" s="214"/>
      <c r="E1084" s="213"/>
      <c r="F1084" s="214"/>
      <c r="G1084" s="105"/>
    </row>
    <row r="1085">
      <c r="B1085" s="213"/>
      <c r="C1085" s="214"/>
      <c r="E1085" s="213"/>
      <c r="F1085" s="214"/>
      <c r="G1085" s="105"/>
    </row>
    <row r="1086">
      <c r="B1086" s="213"/>
      <c r="C1086" s="214"/>
      <c r="E1086" s="213"/>
      <c r="F1086" s="214"/>
      <c r="G1086" s="105"/>
    </row>
    <row r="1087">
      <c r="B1087" s="213"/>
      <c r="C1087" s="214"/>
      <c r="E1087" s="213"/>
      <c r="F1087" s="214"/>
      <c r="G1087" s="105"/>
    </row>
    <row r="1088">
      <c r="B1088" s="213"/>
      <c r="C1088" s="214"/>
      <c r="E1088" s="213"/>
      <c r="F1088" s="214"/>
      <c r="G1088" s="105"/>
    </row>
    <row r="1089">
      <c r="B1089" s="213"/>
      <c r="C1089" s="214"/>
      <c r="E1089" s="213"/>
      <c r="F1089" s="214"/>
      <c r="G1089" s="105"/>
    </row>
    <row r="1090">
      <c r="B1090" s="213"/>
      <c r="C1090" s="214"/>
      <c r="E1090" s="213"/>
      <c r="F1090" s="214"/>
      <c r="G1090" s="105"/>
    </row>
    <row r="1091">
      <c r="B1091" s="213"/>
      <c r="C1091" s="214"/>
      <c r="E1091" s="213"/>
      <c r="F1091" s="214"/>
      <c r="G1091" s="105"/>
    </row>
    <row r="1092">
      <c r="B1092" s="213"/>
      <c r="C1092" s="214"/>
      <c r="E1092" s="213"/>
      <c r="F1092" s="214"/>
      <c r="G1092" s="105"/>
    </row>
    <row r="1093">
      <c r="B1093" s="213"/>
      <c r="C1093" s="214"/>
      <c r="E1093" s="213"/>
      <c r="F1093" s="214"/>
      <c r="G1093" s="105"/>
    </row>
    <row r="1094">
      <c r="B1094" s="213"/>
      <c r="C1094" s="214"/>
      <c r="E1094" s="213"/>
      <c r="F1094" s="214"/>
      <c r="G1094" s="105"/>
    </row>
    <row r="1095">
      <c r="B1095" s="213"/>
      <c r="C1095" s="214"/>
      <c r="E1095" s="213"/>
      <c r="F1095" s="214"/>
      <c r="G1095" s="105"/>
    </row>
    <row r="1096">
      <c r="B1096" s="213"/>
      <c r="C1096" s="214"/>
      <c r="E1096" s="213"/>
      <c r="F1096" s="214"/>
      <c r="G1096" s="105"/>
    </row>
    <row r="1097">
      <c r="B1097" s="213"/>
      <c r="C1097" s="214"/>
      <c r="E1097" s="213"/>
      <c r="F1097" s="214"/>
      <c r="G1097" s="105"/>
    </row>
    <row r="1098">
      <c r="B1098" s="213"/>
      <c r="C1098" s="214"/>
      <c r="E1098" s="213"/>
      <c r="F1098" s="214"/>
      <c r="G1098" s="105"/>
    </row>
    <row r="1099">
      <c r="B1099" s="213"/>
      <c r="C1099" s="214"/>
      <c r="E1099" s="213"/>
      <c r="F1099" s="214"/>
      <c r="G1099" s="105"/>
    </row>
    <row r="1100">
      <c r="B1100" s="213"/>
      <c r="C1100" s="214"/>
      <c r="E1100" s="213"/>
      <c r="F1100" s="214"/>
      <c r="G1100" s="105"/>
    </row>
    <row r="1101">
      <c r="B1101" s="213"/>
      <c r="C1101" s="214"/>
      <c r="E1101" s="213"/>
      <c r="F1101" s="214"/>
      <c r="G1101" s="105"/>
    </row>
    <row r="1102">
      <c r="B1102" s="213"/>
      <c r="C1102" s="214"/>
      <c r="E1102" s="213"/>
      <c r="F1102" s="214"/>
      <c r="G1102" s="105"/>
    </row>
    <row r="1103">
      <c r="B1103" s="213"/>
      <c r="C1103" s="214"/>
      <c r="E1103" s="213"/>
      <c r="F1103" s="214"/>
      <c r="G1103" s="105"/>
    </row>
    <row r="1104">
      <c r="B1104" s="213"/>
      <c r="C1104" s="214"/>
      <c r="E1104" s="213"/>
      <c r="F1104" s="214"/>
      <c r="G1104" s="105"/>
    </row>
    <row r="1105">
      <c r="B1105" s="213"/>
      <c r="C1105" s="214"/>
      <c r="E1105" s="213"/>
      <c r="F1105" s="214"/>
      <c r="G1105" s="105"/>
    </row>
    <row r="1106">
      <c r="B1106" s="213"/>
      <c r="C1106" s="214"/>
      <c r="E1106" s="213"/>
      <c r="F1106" s="214"/>
      <c r="G1106" s="105"/>
    </row>
    <row r="1107">
      <c r="B1107" s="213"/>
      <c r="C1107" s="214"/>
      <c r="E1107" s="213"/>
      <c r="F1107" s="214"/>
      <c r="G1107" s="105"/>
    </row>
    <row r="1108">
      <c r="B1108" s="213"/>
      <c r="C1108" s="214"/>
      <c r="E1108" s="213"/>
      <c r="F1108" s="214"/>
      <c r="G1108" s="105"/>
    </row>
    <row r="1109">
      <c r="B1109" s="213"/>
      <c r="C1109" s="214"/>
      <c r="E1109" s="213"/>
      <c r="F1109" s="214"/>
      <c r="G1109" s="105"/>
    </row>
    <row r="1110">
      <c r="B1110" s="213"/>
      <c r="C1110" s="214"/>
      <c r="E1110" s="213"/>
      <c r="F1110" s="214"/>
      <c r="G1110" s="105"/>
    </row>
    <row r="1111">
      <c r="B1111" s="213"/>
      <c r="C1111" s="214"/>
      <c r="E1111" s="213"/>
      <c r="F1111" s="214"/>
      <c r="G1111" s="105"/>
    </row>
    <row r="1112">
      <c r="B1112" s="213"/>
      <c r="C1112" s="214"/>
      <c r="E1112" s="213"/>
      <c r="F1112" s="214"/>
      <c r="G1112" s="105"/>
    </row>
    <row r="1113">
      <c r="B1113" s="213"/>
      <c r="C1113" s="214"/>
      <c r="E1113" s="213"/>
      <c r="F1113" s="214"/>
      <c r="G1113" s="105"/>
    </row>
    <row r="1114">
      <c r="B1114" s="213"/>
      <c r="C1114" s="214"/>
      <c r="E1114" s="213"/>
      <c r="F1114" s="214"/>
      <c r="G1114" s="105"/>
    </row>
    <row r="1115">
      <c r="B1115" s="213"/>
      <c r="C1115" s="214"/>
      <c r="E1115" s="213"/>
      <c r="F1115" s="214"/>
      <c r="G1115" s="105"/>
    </row>
    <row r="1116">
      <c r="B1116" s="213"/>
      <c r="C1116" s="214"/>
      <c r="E1116" s="213"/>
      <c r="F1116" s="214"/>
      <c r="G1116" s="105"/>
    </row>
    <row r="1117">
      <c r="B1117" s="213"/>
      <c r="C1117" s="214"/>
      <c r="E1117" s="213"/>
      <c r="F1117" s="214"/>
      <c r="G1117" s="105"/>
    </row>
    <row r="1118">
      <c r="B1118" s="213"/>
      <c r="C1118" s="214"/>
      <c r="E1118" s="213"/>
      <c r="F1118" s="214"/>
      <c r="G1118" s="105"/>
    </row>
    <row r="1119">
      <c r="B1119" s="213"/>
      <c r="C1119" s="214"/>
      <c r="E1119" s="213"/>
      <c r="F1119" s="214"/>
      <c r="G1119" s="105"/>
    </row>
    <row r="1120">
      <c r="B1120" s="213"/>
      <c r="C1120" s="214"/>
      <c r="E1120" s="213"/>
      <c r="F1120" s="214"/>
      <c r="G1120" s="105"/>
    </row>
    <row r="1121">
      <c r="B1121" s="213"/>
      <c r="C1121" s="214"/>
      <c r="E1121" s="213"/>
      <c r="F1121" s="214"/>
      <c r="G1121" s="105"/>
    </row>
    <row r="1122">
      <c r="B1122" s="213"/>
      <c r="C1122" s="214"/>
      <c r="E1122" s="213"/>
      <c r="F1122" s="214"/>
      <c r="G1122" s="105"/>
    </row>
    <row r="1123">
      <c r="B1123" s="213"/>
      <c r="C1123" s="214"/>
      <c r="E1123" s="213"/>
      <c r="F1123" s="214"/>
      <c r="G1123" s="105"/>
    </row>
    <row r="1124">
      <c r="B1124" s="213"/>
      <c r="C1124" s="214"/>
      <c r="E1124" s="213"/>
      <c r="F1124" s="214"/>
      <c r="G1124" s="105"/>
    </row>
    <row r="1125">
      <c r="B1125" s="213"/>
      <c r="C1125" s="214"/>
      <c r="E1125" s="213"/>
      <c r="F1125" s="214"/>
      <c r="G1125" s="105"/>
    </row>
    <row r="1126">
      <c r="B1126" s="213"/>
      <c r="C1126" s="214"/>
      <c r="E1126" s="213"/>
      <c r="F1126" s="214"/>
      <c r="G1126" s="105"/>
    </row>
    <row r="1127">
      <c r="B1127" s="213"/>
      <c r="C1127" s="214"/>
      <c r="E1127" s="213"/>
      <c r="F1127" s="214"/>
      <c r="G1127" s="105"/>
    </row>
    <row r="1128">
      <c r="B1128" s="213"/>
      <c r="C1128" s="214"/>
      <c r="E1128" s="213"/>
      <c r="F1128" s="214"/>
      <c r="G1128" s="105"/>
    </row>
    <row r="1129">
      <c r="B1129" s="213"/>
      <c r="C1129" s="214"/>
      <c r="E1129" s="213"/>
      <c r="F1129" s="214"/>
      <c r="G1129" s="105"/>
    </row>
    <row r="1130">
      <c r="B1130" s="213"/>
      <c r="C1130" s="214"/>
      <c r="E1130" s="213"/>
      <c r="F1130" s="214"/>
      <c r="G1130" s="105"/>
    </row>
    <row r="1131">
      <c r="B1131" s="213"/>
      <c r="C1131" s="214"/>
      <c r="E1131" s="213"/>
      <c r="F1131" s="214"/>
      <c r="G1131" s="105"/>
    </row>
    <row r="1132">
      <c r="B1132" s="213"/>
      <c r="C1132" s="214"/>
      <c r="E1132" s="213"/>
      <c r="F1132" s="214"/>
      <c r="G1132" s="105"/>
    </row>
    <row r="1133">
      <c r="B1133" s="213"/>
      <c r="C1133" s="214"/>
      <c r="E1133" s="213"/>
      <c r="F1133" s="214"/>
      <c r="G1133" s="105"/>
    </row>
    <row r="1134">
      <c r="B1134" s="213"/>
      <c r="C1134" s="214"/>
      <c r="E1134" s="213"/>
      <c r="F1134" s="214"/>
      <c r="G1134" s="105"/>
    </row>
    <row r="1135">
      <c r="B1135" s="213"/>
      <c r="C1135" s="214"/>
      <c r="E1135" s="213"/>
      <c r="F1135" s="214"/>
      <c r="G1135" s="105"/>
    </row>
    <row r="1136">
      <c r="B1136" s="213"/>
      <c r="C1136" s="214"/>
      <c r="E1136" s="213"/>
      <c r="F1136" s="214"/>
      <c r="G1136" s="105"/>
    </row>
    <row r="1137">
      <c r="B1137" s="213"/>
      <c r="C1137" s="214"/>
      <c r="E1137" s="213"/>
      <c r="F1137" s="214"/>
      <c r="G1137" s="105"/>
    </row>
    <row r="1138">
      <c r="B1138" s="213"/>
      <c r="C1138" s="214"/>
      <c r="E1138" s="213"/>
      <c r="F1138" s="214"/>
      <c r="G1138" s="105"/>
    </row>
    <row r="1139">
      <c r="B1139" s="213"/>
      <c r="C1139" s="214"/>
      <c r="E1139" s="213"/>
      <c r="F1139" s="214"/>
      <c r="G1139" s="105"/>
    </row>
    <row r="1140">
      <c r="B1140" s="213"/>
      <c r="C1140" s="214"/>
      <c r="E1140" s="213"/>
      <c r="F1140" s="214"/>
      <c r="G1140" s="105"/>
    </row>
    <row r="1141">
      <c r="B1141" s="213"/>
      <c r="C1141" s="214"/>
      <c r="E1141" s="213"/>
      <c r="F1141" s="214"/>
      <c r="G1141" s="105"/>
    </row>
    <row r="1142">
      <c r="B1142" s="213"/>
      <c r="C1142" s="214"/>
      <c r="E1142" s="213"/>
      <c r="F1142" s="214"/>
      <c r="G1142" s="105"/>
    </row>
    <row r="1143">
      <c r="B1143" s="213"/>
      <c r="C1143" s="214"/>
      <c r="E1143" s="213"/>
      <c r="F1143" s="214"/>
      <c r="G1143" s="105"/>
    </row>
    <row r="1144">
      <c r="B1144" s="213"/>
      <c r="C1144" s="214"/>
      <c r="E1144" s="213"/>
      <c r="F1144" s="214"/>
      <c r="G1144" s="105"/>
    </row>
    <row r="1145">
      <c r="B1145" s="213"/>
      <c r="C1145" s="214"/>
      <c r="E1145" s="213"/>
      <c r="F1145" s="214"/>
      <c r="G1145" s="105"/>
    </row>
    <row r="1146">
      <c r="B1146" s="213"/>
      <c r="C1146" s="214"/>
      <c r="E1146" s="213"/>
      <c r="F1146" s="214"/>
      <c r="G1146" s="105"/>
    </row>
    <row r="1147">
      <c r="B1147" s="213"/>
      <c r="C1147" s="214"/>
      <c r="E1147" s="213"/>
      <c r="F1147" s="214"/>
      <c r="G1147" s="105"/>
    </row>
    <row r="1148">
      <c r="B1148" s="213"/>
      <c r="C1148" s="214"/>
      <c r="E1148" s="213"/>
      <c r="F1148" s="214"/>
      <c r="G1148" s="105"/>
    </row>
    <row r="1149">
      <c r="B1149" s="213"/>
      <c r="C1149" s="214"/>
      <c r="E1149" s="213"/>
      <c r="F1149" s="214"/>
      <c r="G1149" s="105"/>
    </row>
    <row r="1150">
      <c r="B1150" s="213"/>
      <c r="C1150" s="214"/>
      <c r="E1150" s="213"/>
      <c r="F1150" s="214"/>
      <c r="G1150" s="105"/>
    </row>
    <row r="1151">
      <c r="B1151" s="213"/>
      <c r="C1151" s="214"/>
      <c r="E1151" s="213"/>
      <c r="F1151" s="214"/>
      <c r="G1151" s="105"/>
    </row>
    <row r="1152">
      <c r="B1152" s="213"/>
      <c r="C1152" s="214"/>
      <c r="E1152" s="213"/>
      <c r="F1152" s="214"/>
      <c r="G1152" s="105"/>
    </row>
    <row r="1153">
      <c r="B1153" s="213"/>
      <c r="C1153" s="214"/>
      <c r="E1153" s="213"/>
      <c r="F1153" s="214"/>
      <c r="G1153" s="105"/>
    </row>
    <row r="1154">
      <c r="B1154" s="213"/>
      <c r="C1154" s="214"/>
      <c r="E1154" s="213"/>
      <c r="F1154" s="214"/>
      <c r="G1154" s="105"/>
    </row>
    <row r="1155">
      <c r="B1155" s="213"/>
      <c r="C1155" s="214"/>
      <c r="E1155" s="213"/>
      <c r="F1155" s="214"/>
      <c r="G1155" s="105"/>
    </row>
    <row r="1156">
      <c r="B1156" s="213"/>
      <c r="C1156" s="214"/>
      <c r="E1156" s="213"/>
      <c r="F1156" s="214"/>
      <c r="G1156" s="105"/>
    </row>
    <row r="1157">
      <c r="B1157" s="213"/>
      <c r="C1157" s="214"/>
      <c r="E1157" s="213"/>
      <c r="F1157" s="214"/>
      <c r="G1157" s="105"/>
    </row>
    <row r="1158">
      <c r="B1158" s="213"/>
      <c r="C1158" s="214"/>
      <c r="E1158" s="213"/>
      <c r="F1158" s="214"/>
      <c r="G1158" s="105"/>
    </row>
    <row r="1159">
      <c r="B1159" s="213"/>
      <c r="C1159" s="214"/>
      <c r="E1159" s="213"/>
      <c r="F1159" s="214"/>
      <c r="G1159" s="105"/>
    </row>
    <row r="1160">
      <c r="B1160" s="213"/>
      <c r="C1160" s="214"/>
      <c r="E1160" s="213"/>
      <c r="F1160" s="214"/>
      <c r="G1160" s="105"/>
    </row>
    <row r="1161">
      <c r="B1161" s="213"/>
      <c r="C1161" s="214"/>
      <c r="E1161" s="213"/>
      <c r="F1161" s="214"/>
      <c r="G1161" s="105"/>
    </row>
    <row r="1162">
      <c r="B1162" s="213"/>
      <c r="C1162" s="214"/>
      <c r="E1162" s="213"/>
      <c r="F1162" s="214"/>
      <c r="G1162" s="105"/>
    </row>
    <row r="1163">
      <c r="B1163" s="213"/>
      <c r="C1163" s="214"/>
      <c r="E1163" s="213"/>
      <c r="F1163" s="214"/>
      <c r="G1163" s="105"/>
    </row>
    <row r="1164">
      <c r="B1164" s="213"/>
      <c r="C1164" s="214"/>
      <c r="E1164" s="213"/>
      <c r="F1164" s="214"/>
      <c r="G1164" s="105"/>
    </row>
    <row r="1165">
      <c r="B1165" s="213"/>
      <c r="C1165" s="214"/>
      <c r="E1165" s="213"/>
      <c r="F1165" s="214"/>
      <c r="G1165" s="105"/>
    </row>
    <row r="1166">
      <c r="B1166" s="213"/>
      <c r="C1166" s="214"/>
      <c r="E1166" s="213"/>
      <c r="F1166" s="214"/>
      <c r="G1166" s="105"/>
    </row>
    <row r="1167">
      <c r="B1167" s="213"/>
      <c r="C1167" s="214"/>
      <c r="E1167" s="213"/>
      <c r="F1167" s="214"/>
      <c r="G1167" s="105"/>
    </row>
    <row r="1168">
      <c r="B1168" s="213"/>
      <c r="C1168" s="214"/>
      <c r="E1168" s="213"/>
      <c r="F1168" s="214"/>
      <c r="G1168" s="105"/>
    </row>
    <row r="1169">
      <c r="B1169" s="213"/>
      <c r="C1169" s="214"/>
      <c r="E1169" s="213"/>
      <c r="F1169" s="214"/>
      <c r="G1169" s="105"/>
    </row>
    <row r="1170">
      <c r="B1170" s="213"/>
      <c r="C1170" s="214"/>
      <c r="E1170" s="213"/>
      <c r="F1170" s="214"/>
      <c r="G1170" s="105"/>
    </row>
    <row r="1171">
      <c r="B1171" s="213"/>
      <c r="C1171" s="214"/>
      <c r="E1171" s="213"/>
      <c r="F1171" s="214"/>
      <c r="G1171" s="105"/>
    </row>
    <row r="1172">
      <c r="B1172" s="213"/>
      <c r="C1172" s="214"/>
      <c r="E1172" s="213"/>
      <c r="F1172" s="214"/>
      <c r="G1172" s="105"/>
    </row>
    <row r="1173">
      <c r="B1173" s="213"/>
      <c r="C1173" s="214"/>
      <c r="E1173" s="213"/>
      <c r="F1173" s="214"/>
      <c r="G1173" s="105"/>
    </row>
    <row r="1174">
      <c r="B1174" s="213"/>
      <c r="C1174" s="214"/>
      <c r="E1174" s="213"/>
      <c r="F1174" s="214"/>
      <c r="G1174" s="105"/>
    </row>
    <row r="1175">
      <c r="B1175" s="213"/>
      <c r="C1175" s="214"/>
      <c r="E1175" s="213"/>
      <c r="F1175" s="214"/>
      <c r="G1175" s="105"/>
    </row>
    <row r="1176">
      <c r="B1176" s="213"/>
      <c r="C1176" s="214"/>
      <c r="E1176" s="213"/>
      <c r="F1176" s="214"/>
      <c r="G1176" s="105"/>
    </row>
    <row r="1177">
      <c r="B1177" s="213"/>
      <c r="C1177" s="214"/>
      <c r="E1177" s="213"/>
      <c r="F1177" s="214"/>
      <c r="G1177" s="105"/>
    </row>
    <row r="1178">
      <c r="B1178" s="213"/>
      <c r="C1178" s="214"/>
      <c r="E1178" s="213"/>
      <c r="F1178" s="214"/>
      <c r="G1178" s="105"/>
    </row>
    <row r="1179">
      <c r="B1179" s="213"/>
      <c r="C1179" s="214"/>
      <c r="E1179" s="213"/>
      <c r="F1179" s="214"/>
      <c r="G1179" s="105"/>
    </row>
    <row r="1180">
      <c r="B1180" s="213"/>
      <c r="C1180" s="214"/>
      <c r="E1180" s="213"/>
      <c r="F1180" s="214"/>
      <c r="G1180" s="105"/>
    </row>
    <row r="1181">
      <c r="B1181" s="213"/>
      <c r="C1181" s="214"/>
      <c r="E1181" s="213"/>
      <c r="F1181" s="214"/>
      <c r="G1181" s="105"/>
    </row>
    <row r="1182">
      <c r="B1182" s="213"/>
      <c r="C1182" s="214"/>
      <c r="E1182" s="213"/>
      <c r="F1182" s="214"/>
      <c r="G1182" s="105"/>
    </row>
    <row r="1183">
      <c r="B1183" s="213"/>
      <c r="C1183" s="214"/>
      <c r="E1183" s="213"/>
      <c r="F1183" s="214"/>
      <c r="G1183" s="105"/>
    </row>
    <row r="1184">
      <c r="B1184" s="213"/>
      <c r="C1184" s="214"/>
      <c r="E1184" s="213"/>
      <c r="F1184" s="214"/>
      <c r="G1184" s="105"/>
    </row>
    <row r="1185">
      <c r="B1185" s="213"/>
      <c r="C1185" s="214"/>
      <c r="E1185" s="213"/>
      <c r="F1185" s="214"/>
      <c r="G1185" s="105"/>
    </row>
    <row r="1186">
      <c r="B1186" s="213"/>
      <c r="C1186" s="214"/>
      <c r="E1186" s="213"/>
      <c r="F1186" s="214"/>
      <c r="G1186" s="105"/>
    </row>
    <row r="1187">
      <c r="B1187" s="213"/>
      <c r="C1187" s="214"/>
      <c r="E1187" s="213"/>
      <c r="F1187" s="214"/>
      <c r="G1187" s="105"/>
    </row>
    <row r="1188">
      <c r="B1188" s="213"/>
      <c r="C1188" s="214"/>
      <c r="E1188" s="213"/>
      <c r="F1188" s="214"/>
      <c r="G1188" s="105"/>
    </row>
    <row r="1189">
      <c r="B1189" s="213"/>
      <c r="C1189" s="214"/>
      <c r="E1189" s="213"/>
      <c r="F1189" s="214"/>
      <c r="G1189" s="105"/>
    </row>
    <row r="1190">
      <c r="B1190" s="213"/>
      <c r="C1190" s="214"/>
      <c r="E1190" s="213"/>
      <c r="F1190" s="214"/>
      <c r="G1190" s="105"/>
    </row>
    <row r="1191">
      <c r="B1191" s="213"/>
      <c r="C1191" s="214"/>
      <c r="E1191" s="213"/>
      <c r="F1191" s="214"/>
      <c r="G1191" s="105"/>
    </row>
    <row r="1192">
      <c r="B1192" s="213"/>
      <c r="C1192" s="214"/>
      <c r="E1192" s="213"/>
      <c r="F1192" s="214"/>
      <c r="G1192" s="105"/>
    </row>
    <row r="1193">
      <c r="B1193" s="213"/>
      <c r="C1193" s="214"/>
      <c r="E1193" s="213"/>
      <c r="F1193" s="214"/>
      <c r="G1193" s="105"/>
    </row>
    <row r="1194">
      <c r="B1194" s="213"/>
      <c r="C1194" s="214"/>
      <c r="E1194" s="213"/>
      <c r="F1194" s="214"/>
      <c r="G1194" s="105"/>
    </row>
    <row r="1195">
      <c r="B1195" s="213"/>
      <c r="C1195" s="214"/>
      <c r="E1195" s="213"/>
      <c r="F1195" s="214"/>
      <c r="G1195" s="105"/>
    </row>
    <row r="1196">
      <c r="B1196" s="213"/>
      <c r="C1196" s="214"/>
      <c r="E1196" s="213"/>
      <c r="F1196" s="214"/>
      <c r="G1196" s="105"/>
    </row>
    <row r="1197">
      <c r="B1197" s="213"/>
      <c r="C1197" s="214"/>
      <c r="E1197" s="213"/>
      <c r="F1197" s="214"/>
      <c r="G1197" s="105"/>
    </row>
    <row r="1198">
      <c r="B1198" s="213"/>
      <c r="C1198" s="214"/>
      <c r="E1198" s="213"/>
      <c r="F1198" s="214"/>
      <c r="G1198" s="105"/>
    </row>
    <row r="1199">
      <c r="B1199" s="213"/>
      <c r="C1199" s="214"/>
      <c r="E1199" s="213"/>
      <c r="F1199" s="214"/>
      <c r="G1199" s="105"/>
    </row>
    <row r="1200">
      <c r="B1200" s="213"/>
      <c r="C1200" s="214"/>
      <c r="E1200" s="213"/>
      <c r="F1200" s="214"/>
      <c r="G1200" s="105"/>
    </row>
    <row r="1201">
      <c r="B1201" s="213"/>
      <c r="C1201" s="214"/>
      <c r="E1201" s="213"/>
      <c r="F1201" s="214"/>
      <c r="G1201" s="105"/>
    </row>
    <row r="1202">
      <c r="B1202" s="213"/>
      <c r="C1202" s="214"/>
      <c r="E1202" s="213"/>
      <c r="F1202" s="214"/>
      <c r="G1202" s="105"/>
    </row>
    <row r="1203">
      <c r="B1203" s="213"/>
      <c r="C1203" s="214"/>
      <c r="E1203" s="213"/>
      <c r="F1203" s="214"/>
      <c r="G1203" s="105"/>
    </row>
    <row r="1204">
      <c r="B1204" s="213"/>
      <c r="C1204" s="214"/>
      <c r="E1204" s="213"/>
      <c r="F1204" s="214"/>
      <c r="G1204" s="105"/>
    </row>
    <row r="1205">
      <c r="B1205" s="213"/>
      <c r="C1205" s="214"/>
      <c r="E1205" s="213"/>
      <c r="F1205" s="214"/>
      <c r="G1205" s="105"/>
    </row>
    <row r="1206">
      <c r="B1206" s="213"/>
      <c r="C1206" s="214"/>
      <c r="E1206" s="213"/>
      <c r="F1206" s="214"/>
      <c r="G1206" s="105"/>
    </row>
    <row r="1207">
      <c r="B1207" s="213"/>
      <c r="C1207" s="214"/>
      <c r="E1207" s="213"/>
      <c r="F1207" s="214"/>
      <c r="G1207" s="105"/>
    </row>
    <row r="1208">
      <c r="B1208" s="213"/>
      <c r="C1208" s="214"/>
      <c r="E1208" s="213"/>
      <c r="F1208" s="214"/>
      <c r="G1208" s="105"/>
    </row>
    <row r="1209">
      <c r="B1209" s="213"/>
      <c r="C1209" s="214"/>
      <c r="E1209" s="213"/>
      <c r="F1209" s="214"/>
      <c r="G1209" s="105"/>
    </row>
    <row r="1210">
      <c r="B1210" s="213"/>
      <c r="C1210" s="214"/>
      <c r="E1210" s="213"/>
      <c r="F1210" s="214"/>
      <c r="G1210" s="105"/>
    </row>
    <row r="1211">
      <c r="B1211" s="213"/>
      <c r="C1211" s="214"/>
      <c r="E1211" s="213"/>
      <c r="F1211" s="214"/>
      <c r="G1211" s="105"/>
    </row>
    <row r="1212">
      <c r="B1212" s="213"/>
      <c r="C1212" s="214"/>
      <c r="E1212" s="213"/>
      <c r="F1212" s="214"/>
      <c r="G1212" s="105"/>
    </row>
    <row r="1213">
      <c r="B1213" s="213"/>
      <c r="C1213" s="214"/>
      <c r="E1213" s="213"/>
      <c r="F1213" s="214"/>
      <c r="G1213" s="105"/>
    </row>
    <row r="1214">
      <c r="B1214" s="213"/>
      <c r="C1214" s="214"/>
      <c r="E1214" s="213"/>
      <c r="F1214" s="214"/>
      <c r="G1214" s="105"/>
    </row>
    <row r="1215">
      <c r="B1215" s="213"/>
      <c r="C1215" s="214"/>
      <c r="E1215" s="213"/>
      <c r="F1215" s="214"/>
      <c r="G1215" s="105"/>
    </row>
    <row r="1216">
      <c r="B1216" s="213"/>
      <c r="C1216" s="214"/>
      <c r="E1216" s="213"/>
      <c r="F1216" s="214"/>
      <c r="G1216" s="105"/>
    </row>
    <row r="1217">
      <c r="B1217" s="213"/>
      <c r="C1217" s="214"/>
      <c r="E1217" s="213"/>
      <c r="F1217" s="214"/>
      <c r="G1217" s="105"/>
    </row>
    <row r="1218">
      <c r="B1218" s="213"/>
      <c r="C1218" s="214"/>
      <c r="E1218" s="213"/>
      <c r="F1218" s="214"/>
      <c r="G1218" s="105"/>
    </row>
    <row r="1219">
      <c r="B1219" s="213"/>
      <c r="C1219" s="214"/>
      <c r="E1219" s="213"/>
      <c r="F1219" s="214"/>
      <c r="G1219" s="105"/>
    </row>
    <row r="1220">
      <c r="B1220" s="213"/>
      <c r="C1220" s="214"/>
      <c r="E1220" s="213"/>
      <c r="F1220" s="214"/>
      <c r="G1220" s="105"/>
    </row>
    <row r="1221">
      <c r="B1221" s="213"/>
      <c r="C1221" s="214"/>
      <c r="E1221" s="213"/>
      <c r="F1221" s="214"/>
      <c r="G1221" s="105"/>
    </row>
    <row r="1222">
      <c r="B1222" s="213"/>
      <c r="C1222" s="214"/>
      <c r="E1222" s="213"/>
      <c r="F1222" s="214"/>
      <c r="G1222" s="105"/>
    </row>
    <row r="1223">
      <c r="B1223" s="213"/>
      <c r="C1223" s="214"/>
      <c r="E1223" s="213"/>
      <c r="F1223" s="214"/>
      <c r="G1223" s="105"/>
    </row>
    <row r="1224">
      <c r="B1224" s="213"/>
      <c r="C1224" s="214"/>
      <c r="E1224" s="213"/>
      <c r="F1224" s="214"/>
      <c r="G1224" s="105"/>
    </row>
    <row r="1225">
      <c r="B1225" s="213"/>
      <c r="C1225" s="214"/>
      <c r="E1225" s="213"/>
      <c r="F1225" s="214"/>
      <c r="G1225" s="105"/>
    </row>
    <row r="1226">
      <c r="B1226" s="213"/>
      <c r="C1226" s="214"/>
      <c r="E1226" s="213"/>
      <c r="F1226" s="214"/>
      <c r="G1226" s="105"/>
    </row>
    <row r="1227">
      <c r="B1227" s="213"/>
      <c r="C1227" s="214"/>
      <c r="E1227" s="213"/>
      <c r="F1227" s="214"/>
      <c r="G1227" s="105"/>
    </row>
    <row r="1228">
      <c r="B1228" s="213"/>
      <c r="C1228" s="214"/>
      <c r="E1228" s="213"/>
      <c r="F1228" s="214"/>
      <c r="G1228" s="105"/>
    </row>
    <row r="1229">
      <c r="B1229" s="213"/>
      <c r="C1229" s="214"/>
      <c r="E1229" s="213"/>
      <c r="F1229" s="214"/>
      <c r="G1229" s="105"/>
    </row>
    <row r="1230">
      <c r="B1230" s="213"/>
      <c r="C1230" s="214"/>
      <c r="E1230" s="213"/>
      <c r="F1230" s="214"/>
      <c r="G1230" s="105"/>
    </row>
    <row r="1231">
      <c r="B1231" s="213"/>
      <c r="C1231" s="214"/>
      <c r="E1231" s="213"/>
      <c r="F1231" s="214"/>
      <c r="G1231" s="105"/>
    </row>
    <row r="1232">
      <c r="B1232" s="213"/>
      <c r="C1232" s="214"/>
      <c r="E1232" s="213"/>
      <c r="F1232" s="214"/>
      <c r="G1232" s="105"/>
    </row>
    <row r="1233">
      <c r="B1233" s="213"/>
      <c r="C1233" s="214"/>
      <c r="E1233" s="213"/>
      <c r="F1233" s="214"/>
      <c r="G1233" s="105"/>
    </row>
    <row r="1234">
      <c r="B1234" s="213"/>
      <c r="C1234" s="214"/>
      <c r="E1234" s="213"/>
      <c r="F1234" s="214"/>
      <c r="G1234" s="105"/>
    </row>
    <row r="1235">
      <c r="B1235" s="213"/>
      <c r="C1235" s="214"/>
      <c r="E1235" s="213"/>
      <c r="F1235" s="214"/>
      <c r="G1235" s="105"/>
    </row>
    <row r="1236">
      <c r="B1236" s="213"/>
      <c r="C1236" s="214"/>
      <c r="E1236" s="213"/>
      <c r="F1236" s="214"/>
      <c r="G1236" s="105"/>
    </row>
    <row r="1237">
      <c r="B1237" s="213"/>
      <c r="C1237" s="214"/>
      <c r="E1237" s="213"/>
      <c r="F1237" s="214"/>
      <c r="G1237" s="105"/>
    </row>
    <row r="1238">
      <c r="B1238" s="213"/>
      <c r="C1238" s="214"/>
      <c r="E1238" s="213"/>
      <c r="F1238" s="214"/>
      <c r="G1238" s="105"/>
    </row>
    <row r="1239">
      <c r="B1239" s="213"/>
      <c r="C1239" s="214"/>
      <c r="E1239" s="213"/>
      <c r="F1239" s="214"/>
      <c r="G1239" s="105"/>
    </row>
    <row r="1240">
      <c r="B1240" s="213"/>
      <c r="C1240" s="214"/>
      <c r="E1240" s="213"/>
      <c r="F1240" s="214"/>
      <c r="G1240" s="105"/>
    </row>
    <row r="1241">
      <c r="B1241" s="213"/>
      <c r="C1241" s="214"/>
      <c r="E1241" s="213"/>
      <c r="F1241" s="214"/>
      <c r="G1241" s="105"/>
    </row>
    <row r="1242">
      <c r="B1242" s="213"/>
      <c r="C1242" s="214"/>
      <c r="E1242" s="213"/>
      <c r="F1242" s="214"/>
      <c r="G1242" s="105"/>
    </row>
    <row r="1243">
      <c r="B1243" s="213"/>
      <c r="C1243" s="214"/>
      <c r="E1243" s="213"/>
      <c r="F1243" s="214"/>
      <c r="G1243" s="105"/>
    </row>
    <row r="1244">
      <c r="B1244" s="213"/>
      <c r="C1244" s="214"/>
      <c r="E1244" s="213"/>
      <c r="F1244" s="214"/>
      <c r="G1244" s="105"/>
    </row>
    <row r="1245">
      <c r="B1245" s="213"/>
      <c r="C1245" s="214"/>
      <c r="E1245" s="213"/>
      <c r="F1245" s="214"/>
      <c r="G1245" s="105"/>
    </row>
    <row r="1246">
      <c r="B1246" s="213"/>
      <c r="C1246" s="214"/>
      <c r="E1246" s="213"/>
      <c r="F1246" s="214"/>
      <c r="G1246" s="105"/>
    </row>
    <row r="1247">
      <c r="B1247" s="213"/>
      <c r="C1247" s="214"/>
      <c r="E1247" s="213"/>
      <c r="F1247" s="214"/>
      <c r="G1247" s="105"/>
    </row>
    <row r="1248">
      <c r="B1248" s="213"/>
      <c r="C1248" s="214"/>
      <c r="E1248" s="213"/>
      <c r="F1248" s="214"/>
      <c r="G1248" s="105"/>
    </row>
    <row r="1249">
      <c r="B1249" s="213"/>
      <c r="C1249" s="214"/>
      <c r="E1249" s="213"/>
      <c r="F1249" s="214"/>
      <c r="G1249" s="105"/>
    </row>
    <row r="1250">
      <c r="B1250" s="213"/>
      <c r="C1250" s="214"/>
      <c r="E1250" s="213"/>
      <c r="F1250" s="214"/>
      <c r="G1250" s="105"/>
    </row>
    <row r="1251">
      <c r="B1251" s="213"/>
      <c r="C1251" s="214"/>
      <c r="E1251" s="213"/>
      <c r="F1251" s="214"/>
      <c r="G1251" s="105"/>
    </row>
    <row r="1252">
      <c r="B1252" s="213"/>
      <c r="C1252" s="214"/>
      <c r="E1252" s="213"/>
      <c r="F1252" s="214"/>
      <c r="G1252" s="105"/>
    </row>
    <row r="1253">
      <c r="B1253" s="213"/>
      <c r="C1253" s="214"/>
      <c r="E1253" s="213"/>
      <c r="F1253" s="214"/>
      <c r="G1253" s="105"/>
    </row>
    <row r="1254">
      <c r="B1254" s="213"/>
      <c r="C1254" s="214"/>
      <c r="E1254" s="213"/>
      <c r="F1254" s="214"/>
      <c r="G1254" s="105"/>
    </row>
    <row r="1255">
      <c r="B1255" s="213"/>
      <c r="C1255" s="214"/>
      <c r="E1255" s="213"/>
      <c r="F1255" s="214"/>
      <c r="G1255" s="105"/>
    </row>
    <row r="1256">
      <c r="B1256" s="213"/>
      <c r="C1256" s="214"/>
      <c r="E1256" s="213"/>
      <c r="F1256" s="214"/>
      <c r="G1256" s="105"/>
    </row>
    <row r="1257">
      <c r="B1257" s="213"/>
      <c r="C1257" s="214"/>
      <c r="E1257" s="213"/>
      <c r="F1257" s="214"/>
      <c r="G1257" s="105"/>
    </row>
    <row r="1258">
      <c r="B1258" s="213"/>
      <c r="C1258" s="214"/>
      <c r="E1258" s="213"/>
      <c r="F1258" s="214"/>
      <c r="G1258" s="105"/>
    </row>
    <row r="1259">
      <c r="B1259" s="213"/>
      <c r="C1259" s="214"/>
      <c r="E1259" s="213"/>
      <c r="F1259" s="214"/>
      <c r="G1259" s="105"/>
    </row>
    <row r="1260">
      <c r="B1260" s="213"/>
      <c r="C1260" s="214"/>
      <c r="E1260" s="213"/>
      <c r="F1260" s="214"/>
      <c r="G1260" s="105"/>
    </row>
    <row r="1261">
      <c r="B1261" s="213"/>
      <c r="C1261" s="214"/>
      <c r="E1261" s="213"/>
      <c r="F1261" s="214"/>
      <c r="G1261" s="105"/>
    </row>
    <row r="1262">
      <c r="B1262" s="213"/>
      <c r="C1262" s="214"/>
      <c r="E1262" s="213"/>
      <c r="F1262" s="214"/>
      <c r="G1262" s="105"/>
    </row>
    <row r="1263">
      <c r="B1263" s="213"/>
      <c r="C1263" s="214"/>
      <c r="E1263" s="213"/>
      <c r="F1263" s="214"/>
      <c r="G1263" s="105"/>
    </row>
    <row r="1264">
      <c r="B1264" s="213"/>
      <c r="C1264" s="214"/>
      <c r="E1264" s="213"/>
      <c r="F1264" s="214"/>
      <c r="G1264" s="105"/>
    </row>
    <row r="1265">
      <c r="B1265" s="213"/>
      <c r="C1265" s="214"/>
      <c r="E1265" s="213"/>
      <c r="F1265" s="214"/>
      <c r="G1265" s="105"/>
    </row>
    <row r="1266">
      <c r="B1266" s="213"/>
      <c r="C1266" s="214"/>
      <c r="E1266" s="213"/>
      <c r="F1266" s="214"/>
      <c r="G1266" s="105"/>
    </row>
    <row r="1267">
      <c r="B1267" s="213"/>
      <c r="C1267" s="214"/>
      <c r="E1267" s="213"/>
      <c r="F1267" s="214"/>
      <c r="G1267" s="105"/>
    </row>
    <row r="1268">
      <c r="B1268" s="213"/>
      <c r="C1268" s="214"/>
      <c r="E1268" s="213"/>
      <c r="F1268" s="214"/>
      <c r="G1268" s="105"/>
    </row>
    <row r="1269">
      <c r="B1269" s="213"/>
      <c r="C1269" s="214"/>
      <c r="E1269" s="213"/>
      <c r="F1269" s="214"/>
      <c r="G1269" s="105"/>
    </row>
    <row r="1270">
      <c r="B1270" s="213"/>
      <c r="C1270" s="214"/>
      <c r="E1270" s="213"/>
      <c r="F1270" s="214"/>
      <c r="G1270" s="105"/>
    </row>
    <row r="1271">
      <c r="B1271" s="213"/>
      <c r="C1271" s="214"/>
      <c r="E1271" s="213"/>
      <c r="F1271" s="214"/>
      <c r="G1271" s="105"/>
    </row>
    <row r="1272">
      <c r="B1272" s="213"/>
      <c r="C1272" s="214"/>
      <c r="E1272" s="213"/>
      <c r="F1272" s="214"/>
      <c r="G1272" s="105"/>
    </row>
    <row r="1273">
      <c r="B1273" s="213"/>
      <c r="C1273" s="214"/>
      <c r="E1273" s="213"/>
      <c r="F1273" s="214"/>
      <c r="G1273" s="105"/>
    </row>
    <row r="1274">
      <c r="B1274" s="213"/>
      <c r="C1274" s="214"/>
      <c r="E1274" s="213"/>
      <c r="F1274" s="214"/>
      <c r="G1274" s="105"/>
    </row>
    <row r="1275">
      <c r="B1275" s="213"/>
      <c r="C1275" s="214"/>
      <c r="E1275" s="213"/>
      <c r="F1275" s="214"/>
      <c r="G1275" s="105"/>
    </row>
    <row r="1276">
      <c r="B1276" s="213"/>
      <c r="C1276" s="214"/>
      <c r="E1276" s="213"/>
      <c r="F1276" s="214"/>
      <c r="G1276" s="105"/>
    </row>
    <row r="1277">
      <c r="B1277" s="213"/>
      <c r="C1277" s="214"/>
      <c r="E1277" s="213"/>
      <c r="F1277" s="214"/>
      <c r="G1277" s="105"/>
    </row>
    <row r="1278">
      <c r="B1278" s="213"/>
      <c r="C1278" s="214"/>
      <c r="E1278" s="213"/>
      <c r="F1278" s="214"/>
      <c r="G1278" s="105"/>
    </row>
    <row r="1279">
      <c r="B1279" s="213"/>
      <c r="C1279" s="214"/>
      <c r="E1279" s="213"/>
      <c r="F1279" s="214"/>
      <c r="G1279" s="105"/>
    </row>
    <row r="1280">
      <c r="B1280" s="213"/>
      <c r="C1280" s="214"/>
      <c r="E1280" s="213"/>
      <c r="F1280" s="214"/>
      <c r="G1280" s="105"/>
    </row>
    <row r="1281">
      <c r="B1281" s="213"/>
      <c r="C1281" s="214"/>
      <c r="E1281" s="213"/>
      <c r="F1281" s="214"/>
      <c r="G1281" s="105"/>
    </row>
    <row r="1282">
      <c r="B1282" s="213"/>
      <c r="C1282" s="214"/>
      <c r="E1282" s="213"/>
      <c r="F1282" s="214"/>
      <c r="G1282" s="105"/>
    </row>
    <row r="1283">
      <c r="B1283" s="213"/>
      <c r="C1283" s="214"/>
      <c r="E1283" s="213"/>
      <c r="F1283" s="214"/>
      <c r="G1283" s="105"/>
    </row>
    <row r="1284">
      <c r="B1284" s="213"/>
      <c r="C1284" s="214"/>
      <c r="E1284" s="213"/>
      <c r="F1284" s="214"/>
      <c r="G1284" s="105"/>
    </row>
    <row r="1285">
      <c r="B1285" s="213"/>
      <c r="C1285" s="214"/>
      <c r="E1285" s="213"/>
      <c r="F1285" s="214"/>
      <c r="G1285" s="105"/>
    </row>
    <row r="1286">
      <c r="B1286" s="213"/>
      <c r="C1286" s="214"/>
      <c r="E1286" s="213"/>
      <c r="F1286" s="214"/>
      <c r="G1286" s="105"/>
    </row>
    <row r="1287">
      <c r="B1287" s="213"/>
      <c r="C1287" s="214"/>
      <c r="E1287" s="213"/>
      <c r="F1287" s="214"/>
      <c r="G1287" s="105"/>
    </row>
    <row r="1288">
      <c r="B1288" s="213"/>
      <c r="C1288" s="214"/>
      <c r="E1288" s="213"/>
      <c r="F1288" s="214"/>
      <c r="G1288" s="105"/>
    </row>
    <row r="1289">
      <c r="B1289" s="213"/>
      <c r="C1289" s="214"/>
      <c r="E1289" s="213"/>
      <c r="F1289" s="214"/>
      <c r="G1289" s="105"/>
    </row>
    <row r="1290">
      <c r="B1290" s="213"/>
      <c r="C1290" s="214"/>
      <c r="E1290" s="213"/>
      <c r="F1290" s="214"/>
      <c r="G1290" s="105"/>
    </row>
    <row r="1291">
      <c r="B1291" s="213"/>
      <c r="C1291" s="214"/>
      <c r="E1291" s="213"/>
      <c r="F1291" s="214"/>
      <c r="G1291" s="105"/>
    </row>
    <row r="1292">
      <c r="B1292" s="213"/>
      <c r="C1292" s="214"/>
      <c r="E1292" s="213"/>
      <c r="F1292" s="214"/>
      <c r="G1292" s="105"/>
    </row>
    <row r="1293">
      <c r="B1293" s="213"/>
      <c r="C1293" s="214"/>
      <c r="E1293" s="213"/>
      <c r="F1293" s="214"/>
      <c r="G1293" s="105"/>
    </row>
    <row r="1294">
      <c r="B1294" s="213"/>
      <c r="C1294" s="214"/>
      <c r="E1294" s="213"/>
      <c r="F1294" s="214"/>
      <c r="G1294" s="105"/>
    </row>
    <row r="1295">
      <c r="B1295" s="213"/>
      <c r="C1295" s="214"/>
      <c r="E1295" s="213"/>
      <c r="F1295" s="214"/>
      <c r="G1295" s="105"/>
    </row>
    <row r="1296">
      <c r="B1296" s="213"/>
      <c r="C1296" s="214"/>
      <c r="E1296" s="213"/>
      <c r="F1296" s="214"/>
      <c r="G1296" s="105"/>
    </row>
    <row r="1297">
      <c r="B1297" s="213"/>
      <c r="C1297" s="214"/>
      <c r="E1297" s="213"/>
      <c r="F1297" s="214"/>
      <c r="G1297" s="105"/>
    </row>
    <row r="1298">
      <c r="B1298" s="213"/>
      <c r="C1298" s="214"/>
      <c r="E1298" s="213"/>
      <c r="F1298" s="214"/>
      <c r="G1298" s="105"/>
    </row>
    <row r="1299">
      <c r="B1299" s="213"/>
      <c r="C1299" s="214"/>
      <c r="E1299" s="213"/>
      <c r="F1299" s="214"/>
      <c r="G1299" s="105"/>
    </row>
    <row r="1300">
      <c r="B1300" s="213"/>
      <c r="C1300" s="214"/>
      <c r="E1300" s="213"/>
      <c r="F1300" s="214"/>
      <c r="G1300" s="105"/>
    </row>
    <row r="1301">
      <c r="B1301" s="213"/>
      <c r="C1301" s="214"/>
      <c r="E1301" s="213"/>
      <c r="F1301" s="214"/>
      <c r="G1301" s="105"/>
    </row>
    <row r="1302">
      <c r="B1302" s="213"/>
      <c r="C1302" s="214"/>
      <c r="E1302" s="213"/>
      <c r="F1302" s="214"/>
      <c r="G1302" s="105"/>
    </row>
    <row r="1303">
      <c r="B1303" s="213"/>
      <c r="C1303" s="214"/>
      <c r="E1303" s="213"/>
      <c r="F1303" s="214"/>
      <c r="G1303" s="105"/>
    </row>
    <row r="1304">
      <c r="B1304" s="213"/>
      <c r="C1304" s="214"/>
      <c r="E1304" s="213"/>
      <c r="F1304" s="214"/>
      <c r="G1304" s="105"/>
    </row>
    <row r="1305">
      <c r="B1305" s="213"/>
      <c r="C1305" s="214"/>
      <c r="E1305" s="213"/>
      <c r="F1305" s="214"/>
      <c r="G1305" s="105"/>
    </row>
    <row r="1306">
      <c r="B1306" s="213"/>
      <c r="C1306" s="214"/>
      <c r="E1306" s="213"/>
      <c r="F1306" s="214"/>
      <c r="G1306" s="105"/>
    </row>
    <row r="1307">
      <c r="B1307" s="213"/>
      <c r="C1307" s="214"/>
      <c r="E1307" s="213"/>
      <c r="F1307" s="214"/>
      <c r="G1307" s="105"/>
    </row>
    <row r="1308">
      <c r="B1308" s="213"/>
      <c r="C1308" s="214"/>
      <c r="E1308" s="213"/>
      <c r="F1308" s="214"/>
      <c r="G1308" s="105"/>
    </row>
    <row r="1309">
      <c r="B1309" s="213"/>
      <c r="C1309" s="214"/>
      <c r="E1309" s="213"/>
      <c r="F1309" s="214"/>
      <c r="G1309" s="105"/>
    </row>
    <row r="1310">
      <c r="B1310" s="213"/>
      <c r="C1310" s="214"/>
      <c r="E1310" s="213"/>
      <c r="F1310" s="214"/>
      <c r="G1310" s="105"/>
    </row>
    <row r="1311">
      <c r="B1311" s="213"/>
      <c r="C1311" s="214"/>
      <c r="E1311" s="213"/>
      <c r="F1311" s="214"/>
      <c r="G1311" s="105"/>
    </row>
    <row r="1312">
      <c r="B1312" s="213"/>
      <c r="C1312" s="214"/>
      <c r="E1312" s="213"/>
      <c r="F1312" s="214"/>
      <c r="G1312" s="105"/>
    </row>
    <row r="1313">
      <c r="B1313" s="213"/>
      <c r="C1313" s="214"/>
      <c r="E1313" s="213"/>
      <c r="F1313" s="214"/>
      <c r="G1313" s="105"/>
    </row>
    <row r="1314">
      <c r="B1314" s="213"/>
      <c r="C1314" s="214"/>
      <c r="E1314" s="213"/>
      <c r="F1314" s="214"/>
      <c r="G1314" s="105"/>
    </row>
    <row r="1315">
      <c r="B1315" s="213"/>
      <c r="C1315" s="214"/>
      <c r="E1315" s="213"/>
      <c r="F1315" s="214"/>
      <c r="G1315" s="105"/>
    </row>
    <row r="1316">
      <c r="B1316" s="213"/>
      <c r="C1316" s="214"/>
      <c r="E1316" s="213"/>
      <c r="F1316" s="214"/>
      <c r="G1316" s="105"/>
    </row>
    <row r="1317">
      <c r="B1317" s="213"/>
      <c r="C1317" s="214"/>
      <c r="E1317" s="213"/>
      <c r="F1317" s="214"/>
      <c r="G1317" s="105"/>
    </row>
    <row r="1318">
      <c r="B1318" s="213"/>
      <c r="C1318" s="214"/>
      <c r="E1318" s="213"/>
      <c r="F1318" s="214"/>
      <c r="G1318" s="105"/>
    </row>
    <row r="1319">
      <c r="B1319" s="213"/>
      <c r="C1319" s="214"/>
      <c r="E1319" s="213"/>
      <c r="F1319" s="214"/>
      <c r="G1319" s="105"/>
    </row>
    <row r="1320">
      <c r="B1320" s="213"/>
      <c r="C1320" s="214"/>
      <c r="E1320" s="213"/>
      <c r="F1320" s="214"/>
      <c r="G1320" s="105"/>
    </row>
    <row r="1321">
      <c r="B1321" s="213"/>
      <c r="C1321" s="214"/>
      <c r="E1321" s="213"/>
      <c r="F1321" s="214"/>
      <c r="G1321" s="105"/>
    </row>
    <row r="1322">
      <c r="B1322" s="213"/>
      <c r="C1322" s="214"/>
      <c r="E1322" s="213"/>
      <c r="F1322" s="214"/>
      <c r="G1322" s="105"/>
    </row>
    <row r="1323">
      <c r="B1323" s="213"/>
      <c r="C1323" s="214"/>
      <c r="E1323" s="213"/>
      <c r="F1323" s="214"/>
      <c r="G1323" s="105"/>
    </row>
    <row r="1324">
      <c r="B1324" s="213"/>
      <c r="C1324" s="214"/>
      <c r="E1324" s="213"/>
      <c r="F1324" s="214"/>
      <c r="G1324" s="105"/>
    </row>
    <row r="1325">
      <c r="B1325" s="213"/>
      <c r="C1325" s="214"/>
      <c r="E1325" s="213"/>
      <c r="F1325" s="214"/>
      <c r="G1325" s="105"/>
    </row>
    <row r="1326">
      <c r="B1326" s="213"/>
      <c r="C1326" s="214"/>
      <c r="E1326" s="213"/>
      <c r="F1326" s="214"/>
      <c r="G1326" s="105"/>
    </row>
    <row r="1327">
      <c r="B1327" s="213"/>
      <c r="C1327" s="214"/>
      <c r="E1327" s="213"/>
      <c r="F1327" s="214"/>
      <c r="G1327" s="105"/>
    </row>
    <row r="1328">
      <c r="B1328" s="213"/>
      <c r="C1328" s="214"/>
      <c r="E1328" s="213"/>
      <c r="F1328" s="214"/>
      <c r="G1328" s="105"/>
    </row>
    <row r="1329">
      <c r="B1329" s="213"/>
      <c r="C1329" s="214"/>
      <c r="E1329" s="213"/>
      <c r="F1329" s="214"/>
      <c r="G1329" s="105"/>
    </row>
    <row r="1330">
      <c r="B1330" s="213"/>
      <c r="C1330" s="214"/>
      <c r="E1330" s="213"/>
      <c r="F1330" s="214"/>
      <c r="G1330" s="105"/>
    </row>
    <row r="1331">
      <c r="B1331" s="213"/>
      <c r="C1331" s="214"/>
      <c r="E1331" s="213"/>
      <c r="F1331" s="214"/>
      <c r="G1331" s="105"/>
    </row>
    <row r="1332">
      <c r="B1332" s="213"/>
      <c r="C1332" s="214"/>
      <c r="E1332" s="213"/>
      <c r="F1332" s="214"/>
      <c r="G1332" s="105"/>
    </row>
    <row r="1333">
      <c r="B1333" s="213"/>
      <c r="C1333" s="214"/>
      <c r="E1333" s="213"/>
      <c r="F1333" s="214"/>
      <c r="G1333" s="105"/>
    </row>
    <row r="1334">
      <c r="B1334" s="213"/>
      <c r="C1334" s="214"/>
      <c r="E1334" s="213"/>
      <c r="F1334" s="214"/>
      <c r="G1334" s="105"/>
    </row>
    <row r="1335">
      <c r="B1335" s="213"/>
      <c r="C1335" s="214"/>
      <c r="E1335" s="213"/>
      <c r="F1335" s="214"/>
      <c r="G1335" s="105"/>
    </row>
    <row r="1336">
      <c r="B1336" s="213"/>
      <c r="C1336" s="214"/>
      <c r="E1336" s="213"/>
      <c r="F1336" s="214"/>
      <c r="G1336" s="105"/>
    </row>
    <row r="1337">
      <c r="B1337" s="213"/>
      <c r="C1337" s="214"/>
      <c r="E1337" s="213"/>
      <c r="F1337" s="214"/>
      <c r="G1337" s="105"/>
    </row>
    <row r="1338">
      <c r="B1338" s="213"/>
      <c r="C1338" s="214"/>
      <c r="E1338" s="213"/>
      <c r="F1338" s="214"/>
      <c r="G1338" s="105"/>
    </row>
    <row r="1339">
      <c r="B1339" s="213"/>
      <c r="C1339" s="214"/>
      <c r="E1339" s="213"/>
      <c r="F1339" s="214"/>
      <c r="G1339" s="105"/>
    </row>
    <row r="1340">
      <c r="B1340" s="213"/>
      <c r="C1340" s="214"/>
      <c r="E1340" s="213"/>
      <c r="F1340" s="214"/>
      <c r="G1340" s="105"/>
    </row>
    <row r="1341">
      <c r="B1341" s="213"/>
      <c r="C1341" s="214"/>
      <c r="E1341" s="213"/>
      <c r="F1341" s="214"/>
      <c r="G1341" s="105"/>
    </row>
    <row r="1342">
      <c r="B1342" s="213"/>
      <c r="C1342" s="214"/>
      <c r="E1342" s="213"/>
      <c r="F1342" s="214"/>
      <c r="G1342" s="105"/>
    </row>
    <row r="1343">
      <c r="B1343" s="213"/>
      <c r="C1343" s="214"/>
      <c r="E1343" s="213"/>
      <c r="F1343" s="214"/>
      <c r="G1343" s="105"/>
    </row>
    <row r="1344">
      <c r="B1344" s="213"/>
      <c r="C1344" s="214"/>
      <c r="E1344" s="213"/>
      <c r="F1344" s="214"/>
      <c r="G1344" s="105"/>
    </row>
    <row r="1345">
      <c r="B1345" s="213"/>
      <c r="C1345" s="214"/>
      <c r="E1345" s="213"/>
      <c r="F1345" s="214"/>
      <c r="G1345" s="105"/>
    </row>
    <row r="1346">
      <c r="B1346" s="213"/>
      <c r="C1346" s="214"/>
      <c r="E1346" s="213"/>
      <c r="F1346" s="214"/>
      <c r="G1346" s="105"/>
    </row>
    <row r="1347">
      <c r="B1347" s="213"/>
      <c r="C1347" s="214"/>
      <c r="E1347" s="213"/>
      <c r="F1347" s="214"/>
      <c r="G1347" s="105"/>
    </row>
    <row r="1348">
      <c r="B1348" s="213"/>
      <c r="C1348" s="214"/>
      <c r="E1348" s="213"/>
      <c r="F1348" s="214"/>
      <c r="G1348" s="105"/>
    </row>
    <row r="1349">
      <c r="B1349" s="213"/>
      <c r="C1349" s="214"/>
      <c r="E1349" s="213"/>
      <c r="F1349" s="214"/>
      <c r="G1349" s="105"/>
    </row>
    <row r="1350">
      <c r="B1350" s="213"/>
      <c r="C1350" s="214"/>
      <c r="E1350" s="213"/>
      <c r="F1350" s="214"/>
      <c r="G1350" s="105"/>
    </row>
    <row r="1351">
      <c r="B1351" s="213"/>
      <c r="C1351" s="214"/>
      <c r="E1351" s="213"/>
      <c r="F1351" s="214"/>
      <c r="G1351" s="105"/>
    </row>
    <row r="1352">
      <c r="B1352" s="213"/>
      <c r="C1352" s="214"/>
      <c r="E1352" s="213"/>
      <c r="F1352" s="214"/>
      <c r="G1352" s="105"/>
    </row>
    <row r="1353">
      <c r="B1353" s="213"/>
      <c r="C1353" s="214"/>
      <c r="E1353" s="213"/>
      <c r="F1353" s="214"/>
      <c r="G1353" s="105"/>
    </row>
    <row r="1354">
      <c r="B1354" s="213"/>
      <c r="C1354" s="214"/>
      <c r="E1354" s="213"/>
      <c r="F1354" s="214"/>
      <c r="G1354" s="105"/>
    </row>
    <row r="1355">
      <c r="B1355" s="213"/>
      <c r="C1355" s="214"/>
      <c r="E1355" s="213"/>
      <c r="F1355" s="214"/>
      <c r="G1355" s="105"/>
    </row>
    <row r="1356">
      <c r="B1356" s="213"/>
      <c r="C1356" s="214"/>
      <c r="E1356" s="213"/>
      <c r="F1356" s="214"/>
      <c r="G1356" s="105"/>
    </row>
    <row r="1357">
      <c r="B1357" s="213"/>
      <c r="C1357" s="214"/>
      <c r="E1357" s="213"/>
      <c r="F1357" s="214"/>
      <c r="G1357" s="105"/>
    </row>
    <row r="1358">
      <c r="B1358" s="213"/>
      <c r="C1358" s="214"/>
      <c r="E1358" s="213"/>
      <c r="F1358" s="214"/>
      <c r="G1358" s="105"/>
    </row>
    <row r="1359">
      <c r="B1359" s="213"/>
      <c r="C1359" s="214"/>
      <c r="E1359" s="213"/>
      <c r="F1359" s="214"/>
      <c r="G1359" s="105"/>
    </row>
    <row r="1360">
      <c r="B1360" s="213"/>
      <c r="C1360" s="214"/>
      <c r="E1360" s="213"/>
      <c r="F1360" s="214"/>
      <c r="G1360" s="105"/>
    </row>
    <row r="1361">
      <c r="B1361" s="213"/>
      <c r="C1361" s="214"/>
      <c r="E1361" s="213"/>
      <c r="F1361" s="214"/>
      <c r="G1361" s="105"/>
    </row>
    <row r="1362">
      <c r="B1362" s="213"/>
      <c r="C1362" s="214"/>
      <c r="E1362" s="213"/>
      <c r="F1362" s="214"/>
      <c r="G1362" s="105"/>
    </row>
    <row r="1363">
      <c r="B1363" s="213"/>
      <c r="C1363" s="214"/>
      <c r="E1363" s="213"/>
      <c r="F1363" s="214"/>
      <c r="G1363" s="105"/>
    </row>
    <row r="1364">
      <c r="B1364" s="213"/>
      <c r="C1364" s="214"/>
      <c r="E1364" s="213"/>
      <c r="F1364" s="214"/>
      <c r="G1364" s="105"/>
    </row>
    <row r="1365">
      <c r="B1365" s="213"/>
      <c r="C1365" s="214"/>
      <c r="E1365" s="213"/>
      <c r="F1365" s="214"/>
      <c r="G1365" s="105"/>
    </row>
    <row r="1366">
      <c r="B1366" s="213"/>
      <c r="C1366" s="214"/>
      <c r="E1366" s="213"/>
      <c r="F1366" s="214"/>
      <c r="G1366" s="105"/>
    </row>
    <row r="1367">
      <c r="B1367" s="213"/>
      <c r="C1367" s="214"/>
      <c r="E1367" s="213"/>
      <c r="F1367" s="214"/>
      <c r="G1367" s="105"/>
    </row>
    <row r="1368">
      <c r="B1368" s="213"/>
      <c r="C1368" s="214"/>
      <c r="E1368" s="213"/>
      <c r="F1368" s="214"/>
      <c r="G1368" s="105"/>
    </row>
    <row r="1369">
      <c r="B1369" s="213"/>
      <c r="C1369" s="214"/>
      <c r="E1369" s="213"/>
      <c r="F1369" s="214"/>
      <c r="G1369" s="105"/>
    </row>
    <row r="1370">
      <c r="B1370" s="213"/>
      <c r="C1370" s="214"/>
      <c r="E1370" s="213"/>
      <c r="F1370" s="214"/>
      <c r="G1370" s="105"/>
    </row>
    <row r="1371">
      <c r="B1371" s="213"/>
      <c r="C1371" s="214"/>
      <c r="E1371" s="213"/>
      <c r="F1371" s="214"/>
      <c r="G1371" s="105"/>
    </row>
    <row r="1372">
      <c r="B1372" s="213"/>
      <c r="C1372" s="214"/>
      <c r="E1372" s="213"/>
      <c r="F1372" s="214"/>
      <c r="G1372" s="105"/>
    </row>
    <row r="1373">
      <c r="B1373" s="213"/>
      <c r="C1373" s="214"/>
      <c r="E1373" s="213"/>
      <c r="F1373" s="214"/>
      <c r="G1373" s="105"/>
    </row>
    <row r="1374">
      <c r="B1374" s="213"/>
      <c r="C1374" s="214"/>
      <c r="E1374" s="213"/>
      <c r="F1374" s="214"/>
      <c r="G1374" s="105"/>
    </row>
    <row r="1375">
      <c r="B1375" s="213"/>
      <c r="C1375" s="214"/>
      <c r="E1375" s="213"/>
      <c r="F1375" s="214"/>
      <c r="G1375" s="105"/>
    </row>
    <row r="1376">
      <c r="B1376" s="213"/>
      <c r="C1376" s="214"/>
      <c r="E1376" s="213"/>
      <c r="F1376" s="214"/>
      <c r="G1376" s="105"/>
    </row>
    <row r="1377">
      <c r="B1377" s="213"/>
      <c r="C1377" s="214"/>
      <c r="E1377" s="213"/>
      <c r="F1377" s="214"/>
      <c r="G1377" s="105"/>
    </row>
    <row r="1378">
      <c r="B1378" s="213"/>
      <c r="C1378" s="214"/>
      <c r="E1378" s="213"/>
      <c r="F1378" s="214"/>
      <c r="G1378" s="105"/>
    </row>
    <row r="1379">
      <c r="B1379" s="213"/>
      <c r="C1379" s="214"/>
      <c r="E1379" s="213"/>
      <c r="F1379" s="214"/>
      <c r="G1379" s="105"/>
    </row>
    <row r="1380">
      <c r="B1380" s="213"/>
      <c r="C1380" s="214"/>
      <c r="E1380" s="213"/>
      <c r="F1380" s="214"/>
      <c r="G1380" s="105"/>
    </row>
    <row r="1381">
      <c r="B1381" s="213"/>
      <c r="C1381" s="214"/>
      <c r="E1381" s="213"/>
      <c r="F1381" s="214"/>
      <c r="G1381" s="105"/>
    </row>
    <row r="1382">
      <c r="B1382" s="213"/>
      <c r="C1382" s="214"/>
      <c r="E1382" s="213"/>
      <c r="F1382" s="214"/>
      <c r="G1382" s="105"/>
    </row>
    <row r="1383">
      <c r="B1383" s="213"/>
      <c r="C1383" s="214"/>
      <c r="E1383" s="213"/>
      <c r="F1383" s="214"/>
      <c r="G1383" s="105"/>
    </row>
    <row r="1384">
      <c r="B1384" s="213"/>
      <c r="C1384" s="214"/>
      <c r="E1384" s="213"/>
      <c r="F1384" s="214"/>
      <c r="G1384" s="105"/>
    </row>
    <row r="1385">
      <c r="B1385" s="213"/>
      <c r="C1385" s="214"/>
      <c r="E1385" s="213"/>
      <c r="F1385" s="214"/>
      <c r="G1385" s="105"/>
    </row>
    <row r="1386">
      <c r="B1386" s="213"/>
      <c r="C1386" s="214"/>
      <c r="E1386" s="213"/>
      <c r="F1386" s="214"/>
      <c r="G1386" s="105"/>
    </row>
    <row r="1387">
      <c r="B1387" s="213"/>
      <c r="C1387" s="214"/>
      <c r="E1387" s="213"/>
      <c r="F1387" s="214"/>
      <c r="G1387" s="105"/>
    </row>
    <row r="1388">
      <c r="B1388" s="213"/>
      <c r="C1388" s="214"/>
      <c r="E1388" s="213"/>
      <c r="F1388" s="214"/>
      <c r="G1388" s="105"/>
    </row>
    <row r="1389">
      <c r="B1389" s="213"/>
      <c r="C1389" s="214"/>
      <c r="E1389" s="213"/>
      <c r="F1389" s="214"/>
      <c r="G1389" s="105"/>
    </row>
    <row r="1390">
      <c r="B1390" s="213"/>
      <c r="C1390" s="214"/>
      <c r="E1390" s="213"/>
      <c r="F1390" s="214"/>
      <c r="G1390" s="105"/>
    </row>
    <row r="1391">
      <c r="B1391" s="213"/>
      <c r="C1391" s="214"/>
      <c r="E1391" s="213"/>
      <c r="F1391" s="214"/>
      <c r="G1391" s="105"/>
    </row>
    <row r="1392">
      <c r="B1392" s="213"/>
      <c r="C1392" s="214"/>
      <c r="E1392" s="213"/>
      <c r="F1392" s="214"/>
      <c r="G1392" s="105"/>
    </row>
    <row r="1393">
      <c r="B1393" s="213"/>
      <c r="C1393" s="214"/>
      <c r="E1393" s="213"/>
      <c r="F1393" s="214"/>
      <c r="G1393" s="105"/>
    </row>
    <row r="1394">
      <c r="B1394" s="213"/>
      <c r="C1394" s="214"/>
      <c r="E1394" s="213"/>
      <c r="F1394" s="214"/>
      <c r="G1394" s="105"/>
    </row>
    <row r="1395">
      <c r="B1395" s="213"/>
      <c r="C1395" s="214"/>
      <c r="E1395" s="213"/>
      <c r="F1395" s="214"/>
      <c r="G1395" s="105"/>
    </row>
    <row r="1396">
      <c r="B1396" s="213"/>
      <c r="C1396" s="214"/>
      <c r="E1396" s="213"/>
      <c r="F1396" s="214"/>
      <c r="G1396" s="105"/>
    </row>
    <row r="1397">
      <c r="B1397" s="213"/>
      <c r="C1397" s="214"/>
      <c r="E1397" s="213"/>
      <c r="F1397" s="214"/>
      <c r="G1397" s="105"/>
    </row>
    <row r="1398">
      <c r="B1398" s="213"/>
      <c r="C1398" s="214"/>
      <c r="E1398" s="213"/>
      <c r="F1398" s="214"/>
      <c r="G1398" s="105"/>
    </row>
    <row r="1399">
      <c r="B1399" s="213"/>
      <c r="C1399" s="214"/>
      <c r="E1399" s="213"/>
      <c r="F1399" s="214"/>
      <c r="G1399" s="105"/>
    </row>
    <row r="1400">
      <c r="B1400" s="213"/>
      <c r="C1400" s="214"/>
      <c r="E1400" s="213"/>
      <c r="F1400" s="214"/>
      <c r="G1400" s="105"/>
    </row>
    <row r="1401">
      <c r="B1401" s="213"/>
      <c r="C1401" s="214"/>
      <c r="E1401" s="213"/>
      <c r="F1401" s="214"/>
      <c r="G1401" s="105"/>
    </row>
    <row r="1402">
      <c r="B1402" s="213"/>
      <c r="C1402" s="214"/>
      <c r="E1402" s="213"/>
      <c r="F1402" s="214"/>
      <c r="G1402" s="105"/>
    </row>
    <row r="1403">
      <c r="B1403" s="213"/>
      <c r="C1403" s="214"/>
      <c r="E1403" s="213"/>
      <c r="F1403" s="214"/>
      <c r="G1403" s="105"/>
    </row>
    <row r="1404">
      <c r="B1404" s="213"/>
      <c r="C1404" s="214"/>
      <c r="E1404" s="213"/>
      <c r="F1404" s="214"/>
      <c r="G1404" s="105"/>
    </row>
    <row r="1405">
      <c r="B1405" s="213"/>
      <c r="C1405" s="214"/>
      <c r="E1405" s="213"/>
      <c r="F1405" s="214"/>
      <c r="G1405" s="105"/>
    </row>
    <row r="1406">
      <c r="B1406" s="213"/>
      <c r="C1406" s="214"/>
      <c r="E1406" s="213"/>
      <c r="F1406" s="214"/>
      <c r="G1406" s="105"/>
    </row>
    <row r="1407">
      <c r="B1407" s="213"/>
      <c r="C1407" s="214"/>
      <c r="E1407" s="213"/>
      <c r="F1407" s="214"/>
      <c r="G1407" s="105"/>
    </row>
    <row r="1408">
      <c r="B1408" s="213"/>
      <c r="C1408" s="214"/>
      <c r="E1408" s="213"/>
      <c r="F1408" s="214"/>
      <c r="G1408" s="105"/>
    </row>
    <row r="1409">
      <c r="B1409" s="213"/>
      <c r="C1409" s="214"/>
      <c r="E1409" s="213"/>
      <c r="F1409" s="214"/>
      <c r="G1409" s="105"/>
    </row>
    <row r="1410">
      <c r="B1410" s="213"/>
      <c r="C1410" s="214"/>
      <c r="E1410" s="213"/>
      <c r="F1410" s="214"/>
      <c r="G1410" s="105"/>
    </row>
    <row r="1411">
      <c r="B1411" s="213"/>
      <c r="C1411" s="214"/>
      <c r="E1411" s="213"/>
      <c r="F1411" s="214"/>
      <c r="G1411" s="105"/>
    </row>
    <row r="1412">
      <c r="B1412" s="213"/>
      <c r="C1412" s="214"/>
      <c r="E1412" s="213"/>
      <c r="F1412" s="214"/>
      <c r="G1412" s="105"/>
    </row>
    <row r="1413">
      <c r="B1413" s="213"/>
      <c r="C1413" s="214"/>
      <c r="E1413" s="213"/>
      <c r="F1413" s="214"/>
      <c r="G1413" s="105"/>
    </row>
    <row r="1414">
      <c r="B1414" s="213"/>
      <c r="C1414" s="214"/>
      <c r="E1414" s="213"/>
      <c r="F1414" s="214"/>
      <c r="G1414" s="105"/>
    </row>
    <row r="1415">
      <c r="B1415" s="213"/>
      <c r="C1415" s="214"/>
      <c r="E1415" s="213"/>
      <c r="F1415" s="214"/>
      <c r="G1415" s="105"/>
    </row>
    <row r="1416">
      <c r="B1416" s="213"/>
      <c r="C1416" s="214"/>
      <c r="E1416" s="213"/>
      <c r="F1416" s="214"/>
      <c r="G1416" s="105"/>
    </row>
    <row r="1417">
      <c r="B1417" s="213"/>
      <c r="C1417" s="214"/>
      <c r="E1417" s="213"/>
      <c r="F1417" s="214"/>
      <c r="G1417" s="105"/>
    </row>
    <row r="1418">
      <c r="B1418" s="213"/>
      <c r="C1418" s="214"/>
      <c r="E1418" s="213"/>
      <c r="F1418" s="214"/>
      <c r="G1418" s="105"/>
    </row>
    <row r="1419">
      <c r="B1419" s="213"/>
      <c r="C1419" s="214"/>
      <c r="E1419" s="213"/>
      <c r="F1419" s="214"/>
      <c r="G1419" s="105"/>
    </row>
    <row r="1420">
      <c r="B1420" s="213"/>
      <c r="C1420" s="214"/>
      <c r="E1420" s="213"/>
      <c r="F1420" s="214"/>
      <c r="G1420" s="105"/>
    </row>
    <row r="1421">
      <c r="B1421" s="213"/>
      <c r="C1421" s="214"/>
      <c r="E1421" s="213"/>
      <c r="F1421" s="214"/>
      <c r="G1421" s="105"/>
    </row>
    <row r="1422">
      <c r="B1422" s="213"/>
      <c r="C1422" s="214"/>
      <c r="E1422" s="213"/>
      <c r="F1422" s="214"/>
      <c r="G1422" s="105"/>
    </row>
    <row r="1423">
      <c r="B1423" s="213"/>
      <c r="C1423" s="214"/>
      <c r="E1423" s="213"/>
      <c r="F1423" s="214"/>
      <c r="G1423" s="105"/>
    </row>
    <row r="1424">
      <c r="B1424" s="213"/>
      <c r="C1424" s="214"/>
      <c r="E1424" s="213"/>
      <c r="F1424" s="214"/>
      <c r="G1424" s="105"/>
    </row>
    <row r="1425">
      <c r="B1425" s="213"/>
      <c r="C1425" s="214"/>
      <c r="E1425" s="213"/>
      <c r="F1425" s="214"/>
      <c r="G1425" s="105"/>
    </row>
    <row r="1426">
      <c r="B1426" s="213"/>
      <c r="C1426" s="214"/>
      <c r="E1426" s="213"/>
      <c r="F1426" s="214"/>
      <c r="G1426" s="105"/>
    </row>
    <row r="1427">
      <c r="B1427" s="213"/>
      <c r="C1427" s="214"/>
      <c r="E1427" s="213"/>
      <c r="F1427" s="214"/>
      <c r="G1427" s="105"/>
    </row>
    <row r="1428">
      <c r="B1428" s="213"/>
      <c r="C1428" s="214"/>
      <c r="E1428" s="213"/>
      <c r="F1428" s="214"/>
      <c r="G1428" s="105"/>
    </row>
    <row r="1429">
      <c r="B1429" s="213"/>
      <c r="C1429" s="214"/>
      <c r="E1429" s="213"/>
      <c r="F1429" s="214"/>
      <c r="G1429" s="105"/>
    </row>
    <row r="1430">
      <c r="B1430" s="213"/>
      <c r="C1430" s="214"/>
      <c r="E1430" s="213"/>
      <c r="F1430" s="214"/>
      <c r="G1430" s="105"/>
    </row>
    <row r="1431">
      <c r="B1431" s="213"/>
      <c r="C1431" s="214"/>
      <c r="E1431" s="213"/>
      <c r="F1431" s="214"/>
      <c r="G1431" s="105"/>
    </row>
    <row r="1432">
      <c r="B1432" s="213"/>
      <c r="C1432" s="214"/>
      <c r="E1432" s="213"/>
      <c r="F1432" s="214"/>
      <c r="G1432" s="105"/>
    </row>
    <row r="1433">
      <c r="B1433" s="213"/>
      <c r="C1433" s="214"/>
      <c r="E1433" s="213"/>
      <c r="F1433" s="214"/>
      <c r="G1433" s="105"/>
    </row>
    <row r="1434">
      <c r="B1434" s="213"/>
      <c r="C1434" s="214"/>
      <c r="E1434" s="213"/>
      <c r="F1434" s="214"/>
      <c r="G1434" s="105"/>
    </row>
    <row r="1435">
      <c r="B1435" s="213"/>
      <c r="C1435" s="214"/>
      <c r="E1435" s="213"/>
      <c r="F1435" s="214"/>
      <c r="G1435" s="105"/>
    </row>
    <row r="1436">
      <c r="B1436" s="213"/>
      <c r="C1436" s="214"/>
      <c r="E1436" s="213"/>
      <c r="F1436" s="214"/>
      <c r="G1436" s="105"/>
    </row>
    <row r="1437">
      <c r="B1437" s="213"/>
      <c r="C1437" s="214"/>
      <c r="E1437" s="213"/>
      <c r="F1437" s="214"/>
      <c r="G1437" s="105"/>
    </row>
    <row r="1438">
      <c r="B1438" s="213"/>
      <c r="C1438" s="214"/>
      <c r="E1438" s="213"/>
      <c r="F1438" s="214"/>
      <c r="G1438" s="105"/>
    </row>
    <row r="1439">
      <c r="B1439" s="213"/>
      <c r="C1439" s="214"/>
      <c r="E1439" s="213"/>
      <c r="F1439" s="214"/>
      <c r="G1439" s="105"/>
    </row>
    <row r="1440">
      <c r="B1440" s="213"/>
      <c r="C1440" s="214"/>
      <c r="E1440" s="213"/>
      <c r="F1440" s="214"/>
      <c r="G1440" s="105"/>
    </row>
    <row r="1441">
      <c r="B1441" s="213"/>
      <c r="C1441" s="214"/>
      <c r="E1441" s="213"/>
      <c r="F1441" s="214"/>
      <c r="G1441" s="105"/>
    </row>
    <row r="1442">
      <c r="B1442" s="213"/>
      <c r="C1442" s="214"/>
      <c r="E1442" s="213"/>
      <c r="F1442" s="214"/>
      <c r="G1442" s="105"/>
    </row>
    <row r="1443">
      <c r="B1443" s="213"/>
      <c r="C1443" s="214"/>
      <c r="E1443" s="213"/>
      <c r="F1443" s="214"/>
      <c r="G1443" s="105"/>
    </row>
    <row r="1444">
      <c r="B1444" s="213"/>
      <c r="C1444" s="214"/>
      <c r="E1444" s="213"/>
      <c r="F1444" s="214"/>
      <c r="G1444" s="105"/>
    </row>
    <row r="1445">
      <c r="B1445" s="213"/>
      <c r="C1445" s="214"/>
      <c r="E1445" s="213"/>
      <c r="F1445" s="214"/>
      <c r="G1445" s="105"/>
    </row>
    <row r="1446">
      <c r="B1446" s="213"/>
      <c r="C1446" s="214"/>
      <c r="E1446" s="213"/>
      <c r="F1446" s="214"/>
      <c r="G1446" s="105"/>
    </row>
    <row r="1447">
      <c r="B1447" s="213"/>
      <c r="C1447" s="214"/>
      <c r="E1447" s="213"/>
      <c r="F1447" s="214"/>
      <c r="G1447" s="105"/>
    </row>
    <row r="1448">
      <c r="B1448" s="213"/>
      <c r="C1448" s="214"/>
      <c r="E1448" s="213"/>
      <c r="F1448" s="214"/>
      <c r="G1448" s="105"/>
    </row>
    <row r="1449">
      <c r="B1449" s="213"/>
      <c r="C1449" s="214"/>
      <c r="E1449" s="213"/>
      <c r="F1449" s="214"/>
      <c r="G1449" s="105"/>
    </row>
    <row r="1450">
      <c r="B1450" s="213"/>
      <c r="C1450" s="214"/>
      <c r="E1450" s="213"/>
      <c r="F1450" s="214"/>
      <c r="G1450" s="105"/>
    </row>
    <row r="1451">
      <c r="B1451" s="213"/>
      <c r="C1451" s="214"/>
      <c r="E1451" s="213"/>
      <c r="F1451" s="214"/>
      <c r="G1451" s="105"/>
    </row>
    <row r="1452">
      <c r="B1452" s="213"/>
      <c r="C1452" s="214"/>
      <c r="E1452" s="213"/>
      <c r="F1452" s="214"/>
      <c r="G1452" s="105"/>
    </row>
    <row r="1453">
      <c r="B1453" s="213"/>
      <c r="C1453" s="214"/>
      <c r="E1453" s="213"/>
      <c r="F1453" s="214"/>
      <c r="G1453" s="105"/>
    </row>
    <row r="1454">
      <c r="B1454" s="213"/>
      <c r="C1454" s="214"/>
      <c r="E1454" s="213"/>
      <c r="F1454" s="214"/>
      <c r="G1454" s="105"/>
    </row>
    <row r="1455">
      <c r="B1455" s="213"/>
      <c r="C1455" s="214"/>
      <c r="E1455" s="213"/>
      <c r="F1455" s="214"/>
      <c r="G1455" s="105"/>
    </row>
    <row r="1456">
      <c r="B1456" s="213"/>
      <c r="C1456" s="214"/>
      <c r="E1456" s="213"/>
      <c r="F1456" s="214"/>
      <c r="G1456" s="105"/>
    </row>
    <row r="1457">
      <c r="B1457" s="213"/>
      <c r="C1457" s="214"/>
      <c r="E1457" s="213"/>
      <c r="F1457" s="214"/>
      <c r="G1457" s="105"/>
    </row>
    <row r="1458">
      <c r="B1458" s="213"/>
      <c r="C1458" s="214"/>
      <c r="E1458" s="213"/>
      <c r="F1458" s="214"/>
      <c r="G1458" s="105"/>
    </row>
    <row r="1459">
      <c r="B1459" s="213"/>
      <c r="C1459" s="214"/>
      <c r="E1459" s="213"/>
      <c r="F1459" s="214"/>
      <c r="G1459" s="105"/>
    </row>
    <row r="1460">
      <c r="B1460" s="213"/>
      <c r="C1460" s="214"/>
      <c r="E1460" s="213"/>
      <c r="F1460" s="214"/>
      <c r="G1460" s="105"/>
    </row>
    <row r="1461">
      <c r="B1461" s="213"/>
      <c r="C1461" s="214"/>
      <c r="E1461" s="213"/>
      <c r="F1461" s="214"/>
      <c r="G1461" s="105"/>
    </row>
    <row r="1462">
      <c r="B1462" s="213"/>
      <c r="C1462" s="214"/>
      <c r="E1462" s="213"/>
      <c r="F1462" s="214"/>
      <c r="G1462" s="105"/>
    </row>
    <row r="1463">
      <c r="B1463" s="213"/>
      <c r="C1463" s="214"/>
      <c r="E1463" s="213"/>
      <c r="F1463" s="214"/>
      <c r="G1463" s="105"/>
    </row>
    <row r="1464">
      <c r="B1464" s="213"/>
      <c r="C1464" s="214"/>
      <c r="E1464" s="213"/>
      <c r="F1464" s="214"/>
      <c r="G1464" s="105"/>
    </row>
    <row r="1465">
      <c r="B1465" s="213"/>
      <c r="C1465" s="214"/>
      <c r="E1465" s="213"/>
      <c r="F1465" s="214"/>
      <c r="G1465" s="105"/>
    </row>
    <row r="1466">
      <c r="B1466" s="213"/>
      <c r="C1466" s="214"/>
      <c r="E1466" s="213"/>
      <c r="F1466" s="214"/>
      <c r="G1466" s="105"/>
    </row>
    <row r="1467">
      <c r="B1467" s="213"/>
      <c r="C1467" s="214"/>
      <c r="E1467" s="213"/>
      <c r="F1467" s="214"/>
      <c r="G1467" s="105"/>
    </row>
    <row r="1468">
      <c r="B1468" s="213"/>
      <c r="C1468" s="214"/>
      <c r="E1468" s="213"/>
      <c r="F1468" s="214"/>
      <c r="G1468" s="105"/>
    </row>
    <row r="1469">
      <c r="B1469" s="213"/>
      <c r="C1469" s="214"/>
      <c r="E1469" s="213"/>
      <c r="F1469" s="214"/>
      <c r="G1469" s="105"/>
    </row>
    <row r="1470">
      <c r="B1470" s="213"/>
      <c r="C1470" s="214"/>
      <c r="E1470" s="213"/>
      <c r="F1470" s="214"/>
      <c r="G1470" s="105"/>
    </row>
    <row r="1471">
      <c r="B1471" s="213"/>
      <c r="C1471" s="214"/>
      <c r="E1471" s="213"/>
      <c r="F1471" s="214"/>
      <c r="G1471" s="105"/>
    </row>
    <row r="1472">
      <c r="B1472" s="213"/>
      <c r="C1472" s="214"/>
      <c r="E1472" s="213"/>
      <c r="F1472" s="214"/>
      <c r="G1472" s="105"/>
    </row>
    <row r="1473">
      <c r="B1473" s="213"/>
      <c r="C1473" s="214"/>
      <c r="E1473" s="213"/>
      <c r="F1473" s="214"/>
      <c r="G1473" s="105"/>
    </row>
    <row r="1474">
      <c r="B1474" s="213"/>
      <c r="C1474" s="214"/>
      <c r="E1474" s="213"/>
      <c r="F1474" s="214"/>
      <c r="G1474" s="105"/>
    </row>
    <row r="1475">
      <c r="B1475" s="213"/>
      <c r="C1475" s="214"/>
      <c r="E1475" s="213"/>
      <c r="F1475" s="214"/>
      <c r="G1475" s="105"/>
    </row>
    <row r="1476">
      <c r="B1476" s="213"/>
      <c r="C1476" s="214"/>
      <c r="E1476" s="213"/>
      <c r="F1476" s="214"/>
      <c r="G1476" s="105"/>
    </row>
    <row r="1477">
      <c r="B1477" s="213"/>
      <c r="C1477" s="214"/>
      <c r="E1477" s="213"/>
      <c r="F1477" s="214"/>
      <c r="G1477" s="105"/>
    </row>
    <row r="1478">
      <c r="B1478" s="213"/>
      <c r="C1478" s="214"/>
      <c r="E1478" s="213"/>
      <c r="F1478" s="214"/>
      <c r="G1478" s="105"/>
    </row>
    <row r="1479">
      <c r="B1479" s="213"/>
      <c r="C1479" s="214"/>
      <c r="E1479" s="213"/>
      <c r="F1479" s="214"/>
      <c r="G1479" s="105"/>
    </row>
    <row r="1480">
      <c r="B1480" s="213"/>
      <c r="C1480" s="214"/>
      <c r="E1480" s="213"/>
      <c r="F1480" s="214"/>
      <c r="G1480" s="105"/>
    </row>
    <row r="1481">
      <c r="B1481" s="213"/>
      <c r="C1481" s="214"/>
      <c r="E1481" s="213"/>
      <c r="F1481" s="214"/>
      <c r="G1481" s="105"/>
    </row>
    <row r="1482">
      <c r="B1482" s="213"/>
      <c r="C1482" s="214"/>
      <c r="E1482" s="213"/>
      <c r="F1482" s="214"/>
      <c r="G1482" s="105"/>
    </row>
    <row r="1483">
      <c r="B1483" s="213"/>
      <c r="C1483" s="214"/>
      <c r="E1483" s="213"/>
      <c r="F1483" s="214"/>
      <c r="G1483" s="105"/>
    </row>
    <row r="1484">
      <c r="B1484" s="213"/>
      <c r="C1484" s="214"/>
      <c r="E1484" s="213"/>
      <c r="F1484" s="214"/>
      <c r="G1484" s="105"/>
    </row>
    <row r="1485">
      <c r="B1485" s="213"/>
      <c r="C1485" s="214"/>
      <c r="E1485" s="213"/>
      <c r="F1485" s="214"/>
      <c r="G1485" s="105"/>
    </row>
    <row r="1486">
      <c r="B1486" s="213"/>
      <c r="C1486" s="214"/>
      <c r="E1486" s="213"/>
      <c r="F1486" s="214"/>
      <c r="G1486" s="105"/>
    </row>
    <row r="1487">
      <c r="B1487" s="213"/>
      <c r="C1487" s="214"/>
      <c r="E1487" s="213"/>
      <c r="F1487" s="214"/>
      <c r="G1487" s="105"/>
    </row>
    <row r="1488">
      <c r="B1488" s="213"/>
      <c r="C1488" s="214"/>
      <c r="E1488" s="213"/>
      <c r="F1488" s="214"/>
      <c r="G1488" s="105"/>
    </row>
    <row r="1489">
      <c r="B1489" s="213"/>
      <c r="C1489" s="214"/>
      <c r="E1489" s="213"/>
      <c r="F1489" s="214"/>
      <c r="G1489" s="105"/>
    </row>
    <row r="1490">
      <c r="B1490" s="213"/>
      <c r="C1490" s="214"/>
      <c r="E1490" s="213"/>
      <c r="F1490" s="214"/>
      <c r="G1490" s="105"/>
    </row>
    <row r="1491">
      <c r="B1491" s="213"/>
      <c r="C1491" s="214"/>
      <c r="E1491" s="213"/>
      <c r="F1491" s="214"/>
      <c r="G1491" s="105"/>
    </row>
    <row r="1492">
      <c r="B1492" s="213"/>
      <c r="C1492" s="214"/>
      <c r="E1492" s="213"/>
      <c r="F1492" s="214"/>
      <c r="G1492" s="105"/>
    </row>
    <row r="1493">
      <c r="B1493" s="213"/>
      <c r="C1493" s="214"/>
      <c r="E1493" s="213"/>
      <c r="F1493" s="214"/>
      <c r="G1493" s="105"/>
    </row>
    <row r="1494">
      <c r="B1494" s="213"/>
      <c r="C1494" s="214"/>
      <c r="E1494" s="213"/>
      <c r="F1494" s="214"/>
      <c r="G1494" s="105"/>
    </row>
    <row r="1495">
      <c r="B1495" s="213"/>
      <c r="C1495" s="214"/>
      <c r="E1495" s="213"/>
      <c r="F1495" s="214"/>
      <c r="G1495" s="105"/>
    </row>
    <row r="1496">
      <c r="B1496" s="213"/>
      <c r="C1496" s="214"/>
      <c r="E1496" s="213"/>
      <c r="F1496" s="214"/>
      <c r="G1496" s="105"/>
    </row>
    <row r="1497">
      <c r="B1497" s="213"/>
      <c r="C1497" s="214"/>
      <c r="E1497" s="213"/>
      <c r="F1497" s="214"/>
      <c r="G1497" s="105"/>
    </row>
    <row r="1498">
      <c r="B1498" s="213"/>
      <c r="C1498" s="214"/>
      <c r="E1498" s="213"/>
      <c r="F1498" s="214"/>
      <c r="G1498" s="105"/>
    </row>
    <row r="1499">
      <c r="B1499" s="213"/>
      <c r="C1499" s="214"/>
      <c r="E1499" s="213"/>
      <c r="F1499" s="214"/>
      <c r="G1499" s="105"/>
    </row>
    <row r="1500">
      <c r="B1500" s="213"/>
      <c r="C1500" s="214"/>
      <c r="E1500" s="213"/>
      <c r="F1500" s="214"/>
      <c r="G1500" s="105"/>
    </row>
    <row r="1501">
      <c r="B1501" s="213"/>
      <c r="C1501" s="214"/>
      <c r="E1501" s="213"/>
      <c r="F1501" s="214"/>
      <c r="G1501" s="105"/>
    </row>
  </sheetData>
  <mergeCells count="4">
    <mergeCell ref="B4:C4"/>
    <mergeCell ref="E4:G4"/>
    <mergeCell ref="B26:C26"/>
    <mergeCell ref="E26:F26"/>
  </mergeCells>
  <dataValidations>
    <dataValidation type="list" allowBlank="1" showErrorMessage="1" sqref="C9">
      <formula1>"Previsto,Realizado,Ambos"</formula1>
    </dataValidation>
    <dataValidation type="list" allowBlank="1" showErrorMessage="1" sqref="C8">
      <formula1>Tcentrocustos</formula1>
    </dataValidation>
  </dataValidations>
  <drawing r:id="rId1"/>
</worksheet>
</file>